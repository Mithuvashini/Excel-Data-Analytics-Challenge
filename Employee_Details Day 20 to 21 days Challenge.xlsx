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ithu\Desktop\Entri DA\Code Challange\"/>
    </mc:Choice>
  </mc:AlternateContent>
  <xr:revisionPtr revIDLastSave="0" documentId="13_ncr:1_{D7B7633E-BC6A-4119-A344-ACFC9EED478D}" xr6:coauthVersionLast="47" xr6:coauthVersionMax="47" xr10:uidLastSave="{00000000-0000-0000-0000-000000000000}"/>
  <bookViews>
    <workbookView xWindow="28680" yWindow="-120" windowWidth="29040" windowHeight="15720" tabRatio="721" activeTab="7" xr2:uid="{00000000-000D-0000-FFFF-FFFF00000000}"/>
  </bookViews>
  <sheets>
    <sheet name="Raw Data" sheetId="1" r:id="rId1"/>
    <sheet name="Observation" sheetId="2" r:id="rId2"/>
    <sheet name="Week 1" sheetId="3" r:id="rId3"/>
    <sheet name="Week 2" sheetId="4" r:id="rId4"/>
    <sheet name="Week 3" sheetId="5" r:id="rId5"/>
    <sheet name="Pivot Table" sheetId="7" r:id="rId6"/>
    <sheet name="DashBoard" sheetId="8" r:id="rId7"/>
    <sheet name="Documents" sheetId="9" r:id="rId8"/>
  </sheets>
  <definedNames>
    <definedName name="_xlnm._FilterDatabase" localSheetId="0" hidden="1">'Raw Data'!$A$1:$I$1</definedName>
    <definedName name="_xlnm._FilterDatabase" localSheetId="2" hidden="1">'Week 1'!$A$2:$E$152</definedName>
    <definedName name="_xlnm._FilterDatabase" localSheetId="3" hidden="1">'Week 2'!$A$2:$O$152</definedName>
    <definedName name="_xlnm._FilterDatabase" localSheetId="4" hidden="1">'Week 3'!$A$1:$K$151</definedName>
    <definedName name="Slicer_Country1">#N/A</definedName>
    <definedName name="Slicer_Department1">#N/A</definedName>
    <definedName name="Slicer_Gender">#N/A</definedName>
  </definedNames>
  <calcPr calcId="191029"/>
  <pivotCaches>
    <pivotCache cacheId="173" r:id="rId9"/>
    <pivotCache cacheId="178" r:id="rId10"/>
    <pivotCache cacheId="183" r:id="rId11"/>
    <pivotCache cacheId="188" r:id="rId12"/>
    <pivotCache cacheId="193" r:id="rId13"/>
    <pivotCache cacheId="198" r:id="rId14"/>
    <pivotCache cacheId="203" r:id="rId15"/>
    <pivotCache cacheId="208" r:id="rId16"/>
    <pivotCache cacheId="212"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6" i="3" l="1"/>
  <c r="J151" i="5" l="1"/>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 r="O3" i="4" a="1"/>
  <c r="O3" i="4" s="1"/>
  <c r="O4" i="4" a="1"/>
  <c r="O4" i="4" s="1"/>
  <c r="O5" i="4" a="1"/>
  <c r="O5" i="4" s="1"/>
  <c r="O6" i="4" a="1"/>
  <c r="O6" i="4" s="1"/>
  <c r="O7" i="4" a="1"/>
  <c r="O7" i="4" s="1"/>
  <c r="O8" i="4" a="1"/>
  <c r="O8" i="4" s="1"/>
  <c r="O9" i="4" a="1"/>
  <c r="O9" i="4" s="1"/>
  <c r="O10" i="4" a="1"/>
  <c r="O10" i="4" s="1"/>
  <c r="O11" i="4" a="1"/>
  <c r="O11" i="4" s="1"/>
  <c r="O12" i="4" a="1"/>
  <c r="O12" i="4" s="1"/>
  <c r="O13" i="4" a="1"/>
  <c r="O13" i="4" s="1"/>
  <c r="O14" i="4" a="1"/>
  <c r="O14" i="4" s="1"/>
  <c r="O15" i="4" a="1"/>
  <c r="O15" i="4" s="1"/>
  <c r="O16" i="4" a="1"/>
  <c r="O16" i="4" s="1"/>
  <c r="O17" i="4" a="1"/>
  <c r="O17" i="4" s="1"/>
  <c r="O18" i="4" a="1"/>
  <c r="O18" i="4" s="1"/>
  <c r="O19" i="4" a="1"/>
  <c r="O19" i="4" s="1"/>
  <c r="O20" i="4" a="1"/>
  <c r="O20" i="4" s="1"/>
  <c r="O21" i="4" a="1"/>
  <c r="O21" i="4" s="1"/>
  <c r="O22" i="4" a="1"/>
  <c r="O22" i="4" s="1"/>
  <c r="O23" i="4" a="1"/>
  <c r="O23" i="4" s="1"/>
  <c r="O24" i="4" a="1"/>
  <c r="O24" i="4" s="1"/>
  <c r="O25" i="4" a="1"/>
  <c r="O25" i="4" s="1"/>
  <c r="O26" i="4" a="1"/>
  <c r="O26" i="4" s="1"/>
  <c r="O27" i="4" a="1"/>
  <c r="O27" i="4" s="1"/>
  <c r="O28" i="4" a="1"/>
  <c r="O28" i="4" s="1"/>
  <c r="O29" i="4" a="1"/>
  <c r="O29" i="4" s="1"/>
  <c r="O30" i="4" a="1"/>
  <c r="O30" i="4" s="1"/>
  <c r="O31" i="4" a="1"/>
  <c r="O31" i="4" s="1"/>
  <c r="O32" i="4" a="1"/>
  <c r="O32" i="4" s="1"/>
  <c r="O33" i="4" a="1"/>
  <c r="O33" i="4" s="1"/>
  <c r="O34" i="4" a="1"/>
  <c r="O34" i="4" s="1"/>
  <c r="O35" i="4" a="1"/>
  <c r="O35" i="4" s="1"/>
  <c r="O36" i="4" a="1"/>
  <c r="O36" i="4" s="1"/>
  <c r="O37" i="4" a="1"/>
  <c r="O37" i="4" s="1"/>
  <c r="O38" i="4" a="1"/>
  <c r="O38" i="4" s="1"/>
  <c r="O39" i="4" a="1"/>
  <c r="O39" i="4" s="1"/>
  <c r="O40" i="4" a="1"/>
  <c r="O40" i="4" s="1"/>
  <c r="O41" i="4" a="1"/>
  <c r="O41" i="4" s="1"/>
  <c r="O42" i="4" a="1"/>
  <c r="O42" i="4" s="1"/>
  <c r="O43" i="4" a="1"/>
  <c r="O43" i="4" s="1"/>
  <c r="O44" i="4" a="1"/>
  <c r="O44" i="4" s="1"/>
  <c r="O45" i="4" a="1"/>
  <c r="O45" i="4" s="1"/>
  <c r="O46" i="4" a="1"/>
  <c r="O46" i="4" s="1"/>
  <c r="O47" i="4" a="1"/>
  <c r="O47" i="4" s="1"/>
  <c r="O48" i="4" a="1"/>
  <c r="O48" i="4" s="1"/>
  <c r="O49" i="4" a="1"/>
  <c r="O49" i="4" s="1"/>
  <c r="O50" i="4" a="1"/>
  <c r="O50" i="4" s="1"/>
  <c r="O51" i="4" a="1"/>
  <c r="O51" i="4" s="1"/>
  <c r="O52" i="4" a="1"/>
  <c r="O52" i="4"/>
  <c r="O53" i="4" a="1"/>
  <c r="O53" i="4" s="1"/>
  <c r="O54" i="4" a="1"/>
  <c r="O54" i="4" s="1"/>
  <c r="O55" i="4" a="1"/>
  <c r="O55" i="4" s="1"/>
  <c r="O56" i="4" a="1"/>
  <c r="O56" i="4" s="1"/>
  <c r="O57" i="4" a="1"/>
  <c r="O57" i="4" s="1"/>
  <c r="O58" i="4" a="1"/>
  <c r="O58" i="4" s="1"/>
  <c r="O59" i="4" a="1"/>
  <c r="O59" i="4" s="1"/>
  <c r="O60" i="4" a="1"/>
  <c r="O60" i="4" s="1"/>
  <c r="O61" i="4" a="1"/>
  <c r="O61" i="4" s="1"/>
  <c r="O62" i="4" a="1"/>
  <c r="O62" i="4" s="1"/>
  <c r="O63" i="4" a="1"/>
  <c r="O63" i="4"/>
  <c r="O64" i="4" a="1"/>
  <c r="O64" i="4" s="1"/>
  <c r="O65" i="4" a="1"/>
  <c r="O65" i="4" s="1"/>
  <c r="O66" i="4" a="1"/>
  <c r="O66" i="4" s="1"/>
  <c r="O67" i="4" a="1"/>
  <c r="O67" i="4" s="1"/>
  <c r="O68" i="4" a="1"/>
  <c r="O68" i="4" s="1"/>
  <c r="O69" i="4" a="1"/>
  <c r="O69" i="4" s="1"/>
  <c r="O70" i="4" a="1"/>
  <c r="O70" i="4" s="1"/>
  <c r="O71" i="4" a="1"/>
  <c r="O71" i="4" s="1"/>
  <c r="O72" i="4" a="1"/>
  <c r="O72" i="4" s="1"/>
  <c r="O73" i="4" a="1"/>
  <c r="O73" i="4" s="1"/>
  <c r="O74" i="4" a="1"/>
  <c r="O74" i="4" s="1"/>
  <c r="O75" i="4" a="1"/>
  <c r="O75" i="4" s="1"/>
  <c r="O76" i="4" a="1"/>
  <c r="O76" i="4" s="1"/>
  <c r="O77" i="4" a="1"/>
  <c r="O77" i="4" s="1"/>
  <c r="O78" i="4" a="1"/>
  <c r="O78" i="4" s="1"/>
  <c r="O79" i="4" a="1"/>
  <c r="O79" i="4" s="1"/>
  <c r="O80" i="4" a="1"/>
  <c r="O80" i="4" s="1"/>
  <c r="O81" i="4" a="1"/>
  <c r="O81" i="4" s="1"/>
  <c r="O82" i="4" a="1"/>
  <c r="O82" i="4" s="1"/>
  <c r="O83" i="4" a="1"/>
  <c r="O83" i="4" s="1"/>
  <c r="O84" i="4" a="1"/>
  <c r="O84" i="4" s="1"/>
  <c r="O85" i="4" a="1"/>
  <c r="O85" i="4" s="1"/>
  <c r="O86" i="4" a="1"/>
  <c r="O86" i="4" s="1"/>
  <c r="O87" i="4" a="1"/>
  <c r="O87" i="4" s="1"/>
  <c r="O88" i="4" a="1"/>
  <c r="O88" i="4" s="1"/>
  <c r="O89" i="4" a="1"/>
  <c r="O89" i="4" s="1"/>
  <c r="O90" i="4" a="1"/>
  <c r="O90" i="4" s="1"/>
  <c r="O91" i="4" a="1"/>
  <c r="O91" i="4" s="1"/>
  <c r="O92" i="4" a="1"/>
  <c r="O92" i="4" s="1"/>
  <c r="O93" i="4" a="1"/>
  <c r="O93" i="4" s="1"/>
  <c r="O94" i="4" a="1"/>
  <c r="O94" i="4" s="1"/>
  <c r="O95" i="4" a="1"/>
  <c r="O95" i="4" s="1"/>
  <c r="O96" i="4" a="1"/>
  <c r="O96" i="4" s="1"/>
  <c r="O97" i="4" a="1"/>
  <c r="O97" i="4" s="1"/>
  <c r="O98" i="4" a="1"/>
  <c r="O98" i="4" s="1"/>
  <c r="O99" i="4" a="1"/>
  <c r="O99" i="4" s="1"/>
  <c r="O100" i="4" a="1"/>
  <c r="O100" i="4" s="1"/>
  <c r="O101" i="4" a="1"/>
  <c r="O101" i="4" s="1"/>
  <c r="O102" i="4" a="1"/>
  <c r="O102" i="4" s="1"/>
  <c r="O103" i="4" a="1"/>
  <c r="O103" i="4" s="1"/>
  <c r="O104" i="4" a="1"/>
  <c r="O104" i="4" s="1"/>
  <c r="O105" i="4" a="1"/>
  <c r="O105" i="4" s="1"/>
  <c r="O106" i="4" a="1"/>
  <c r="O106" i="4" s="1"/>
  <c r="O107" i="4" a="1"/>
  <c r="O107" i="4" s="1"/>
  <c r="O108" i="4" a="1"/>
  <c r="O108" i="4" s="1"/>
  <c r="O109" i="4" a="1"/>
  <c r="O109" i="4" s="1"/>
  <c r="O110" i="4" a="1"/>
  <c r="O110" i="4" s="1"/>
  <c r="O111" i="4" a="1"/>
  <c r="O111" i="4" s="1"/>
  <c r="O112" i="4" a="1"/>
  <c r="O112" i="4" s="1"/>
  <c r="O113" i="4" a="1"/>
  <c r="O113" i="4" s="1"/>
  <c r="O114" i="4" a="1"/>
  <c r="O114" i="4" s="1"/>
  <c r="O115" i="4" a="1"/>
  <c r="O115" i="4" s="1"/>
  <c r="O116" i="4" a="1"/>
  <c r="O116" i="4" s="1"/>
  <c r="O117" i="4" a="1"/>
  <c r="O117" i="4" s="1"/>
  <c r="O118" i="4" a="1"/>
  <c r="O118" i="4" s="1"/>
  <c r="O119" i="4" a="1"/>
  <c r="O119" i="4" s="1"/>
  <c r="O120" i="4" a="1"/>
  <c r="O120" i="4" s="1"/>
  <c r="O121" i="4" a="1"/>
  <c r="O121" i="4" s="1"/>
  <c r="O122" i="4" a="1"/>
  <c r="O122" i="4" s="1"/>
  <c r="O123" i="4" a="1"/>
  <c r="O123" i="4" s="1"/>
  <c r="O124" i="4" a="1"/>
  <c r="O124" i="4" s="1"/>
  <c r="O125" i="4" a="1"/>
  <c r="O125" i="4" s="1"/>
  <c r="O126" i="4" a="1"/>
  <c r="O126" i="4" s="1"/>
  <c r="O127" i="4" a="1"/>
  <c r="O127" i="4" s="1"/>
  <c r="O128" i="4" a="1"/>
  <c r="O128" i="4" s="1"/>
  <c r="O129" i="4" a="1"/>
  <c r="O129" i="4" s="1"/>
  <c r="O130" i="4" a="1"/>
  <c r="O130" i="4" s="1"/>
  <c r="O131" i="4" a="1"/>
  <c r="O131" i="4" s="1"/>
  <c r="O132" i="4" a="1"/>
  <c r="O132" i="4" s="1"/>
  <c r="O133" i="4" a="1"/>
  <c r="O133" i="4" s="1"/>
  <c r="O134" i="4" a="1"/>
  <c r="O134" i="4" s="1"/>
  <c r="O135" i="4" a="1"/>
  <c r="O135" i="4" s="1"/>
  <c r="O136" i="4" a="1"/>
  <c r="O136" i="4" s="1"/>
  <c r="O137" i="4" a="1"/>
  <c r="O137" i="4" s="1"/>
  <c r="O138" i="4" a="1"/>
  <c r="O138" i="4" s="1"/>
  <c r="O139" i="4" a="1"/>
  <c r="O139" i="4" s="1"/>
  <c r="O140" i="4" a="1"/>
  <c r="O140" i="4" s="1"/>
  <c r="O141" i="4" a="1"/>
  <c r="O141" i="4"/>
  <c r="O142" i="4" a="1"/>
  <c r="O142" i="4" s="1"/>
  <c r="O143" i="4" a="1"/>
  <c r="O143" i="4" s="1"/>
  <c r="O144" i="4" a="1"/>
  <c r="O144" i="4" s="1"/>
  <c r="O145" i="4" a="1"/>
  <c r="O145" i="4" s="1"/>
  <c r="O146" i="4" a="1"/>
  <c r="O146" i="4" s="1"/>
  <c r="O147" i="4" a="1"/>
  <c r="O147" i="4" s="1"/>
  <c r="O148" i="4" a="1"/>
  <c r="O148" i="4" s="1"/>
  <c r="O149" i="4" a="1"/>
  <c r="O149" i="4" s="1"/>
  <c r="O150" i="4" a="1"/>
  <c r="O150" i="4" s="1"/>
  <c r="O151" i="4" a="1"/>
  <c r="O151" i="4" s="1"/>
  <c r="O152" i="4" a="1"/>
  <c r="O152" i="4" s="1"/>
  <c r="L233" i="4" l="1" a="1"/>
  <c r="L233" i="4" s="1"/>
  <c r="K233" i="4" a="1"/>
  <c r="K233" i="4" s="1"/>
  <c r="J233" i="4" a="1"/>
  <c r="J233" i="4" s="1"/>
  <c r="I233" i="4" a="1"/>
  <c r="I233" i="4" s="1"/>
  <c r="H233" i="4" a="1"/>
  <c r="H233" i="4" s="1"/>
  <c r="G233" i="4" a="1"/>
  <c r="G233" i="4" s="1"/>
  <c r="E233" i="4" a="1"/>
  <c r="E233" i="4" s="1"/>
  <c r="D233" i="4" a="1"/>
  <c r="D233" i="4" s="1"/>
  <c r="C233" i="4" a="1"/>
  <c r="C233" i="4" s="1"/>
  <c r="B233" i="4" a="1"/>
  <c r="B233" i="4" s="1"/>
  <c r="G156" i="3"/>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4" i="4"/>
  <c r="M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33" i="4" s="1" a="1"/>
  <c r="F233" i="4" s="1"/>
  <c r="M233" i="4" l="1" a="1"/>
  <c r="M233" i="4" s="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I157" i="3"/>
  <c r="I158" i="3"/>
  <c r="I155" i="3"/>
  <c r="G159" i="3"/>
  <c r="G157" i="3"/>
  <c r="D161" i="3"/>
  <c r="D160" i="3"/>
  <c r="D159" i="3"/>
  <c r="D158" i="3"/>
  <c r="D156" i="3"/>
  <c r="B161" i="3"/>
  <c r="B160" i="3"/>
  <c r="B159" i="3"/>
  <c r="B158" i="3"/>
  <c r="B15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<sst xmlns="http://schemas.openxmlformats.org/spreadsheetml/2006/main" count="4610" uniqueCount="480">
  <si>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</si>
  <si>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</si>
  <si>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</si>
  <si>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</si>
  <si>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</si>
  <si>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</si>
  <si>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</si>
  <si>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</si>
  <si>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</si>
  <si>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</si>
  <si>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</si>
  <si>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</si>
  <si>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</si>
  <si>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</si>
  <si>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</si>
  <si>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</si>
  <si>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</si>
  <si>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</si>
  <si>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</si>
  <si>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</si>
  <si>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</si>
  <si>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</si>
  <si>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</si>
  <si>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</si>
  <si>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</si>
  <si>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</si>
  <si>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</si>
  <si>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</si>
  <si>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</si>
  <si>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</si>
  <si>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</si>
  <si>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</si>
  <si>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</si>
  <si>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</si>
  <si>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</si>
  <si>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</si>
  <si>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</si>
  <si>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</si>
  <si>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</si>
  <si>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</si>
  <si>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</si>
  <si>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</si>
  <si>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</si>
  <si>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</si>
  <si>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</si>
  <si>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</si>
  <si>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</si>
  <si>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</si>
  <si>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</si>
  <si>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</si>
  <si>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</si>
  <si>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</si>
  <si>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</si>
  <si>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</si>
  <si>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</si>
  <si>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</si>
  <si>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</si>
  <si>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</si>
  <si>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</si>
  <si>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</si>
  <si>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</si>
  <si>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</si>
  <si>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</si>
  <si>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</si>
  <si>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</si>
  <si>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</si>
  <si>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</si>
  <si>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</si>
  <si>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</si>
  <si>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</si>
  <si>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</si>
  <si>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</si>
  <si>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</si>
  <si>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</si>
  <si>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</si>
  <si>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</si>
  <si>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</si>
  <si>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</si>
  <si>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</si>
  <si>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</si>
  <si>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</si>
  <si>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</si>
  <si>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</si>
  <si>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</si>
  <si>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</si>
  <si>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</si>
  <si>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</si>
  <si>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</si>
  <si>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</si>
  <si>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</si>
  <si>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</si>
  <si>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</si>
  <si>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</si>
  <si>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</si>
  <si>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</si>
  <si>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</si>
  <si>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</si>
  <si>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</si>
  <si>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</si>
  <si>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</si>
  <si>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</si>
  <si>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</si>
  <si>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</si>
  <si>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</si>
  <si>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</si>
  <si>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</si>
  <si>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</si>
  <si>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</si>
  <si>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</si>
  <si>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</si>
  <si>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</si>
  <si>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</si>
  <si>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</si>
  <si>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</si>
  <si>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</si>
  <si>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</si>
  <si>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</si>
  <si>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</si>
  <si>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</si>
  <si>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</si>
  <si>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</si>
  <si>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</si>
  <si>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</si>
  <si>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</si>
  <si>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</si>
  <si>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</si>
  <si>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</si>
  <si>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</si>
  <si>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</si>
  <si>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</si>
  <si>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</si>
  <si>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</si>
  <si>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</si>
  <si>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</si>
  <si>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</si>
  <si>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</si>
  <si>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</si>
  <si>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</si>
  <si>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</si>
  <si>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</si>
  <si>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</si>
  <si>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</si>
  <si>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</si>
  <si>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</si>
  <si>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</si>
  <si>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</si>
  <si>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</si>
  <si>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</si>
  <si>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</si>
  <si>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</si>
  <si>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</si>
  <si>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</si>
  <si>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</si>
  <si>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</si>
  <si>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</si>
  <si>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</si>
  <si>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</si>
  <si>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</si>
  <si>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</si>
  <si>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</si>
  <si>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</si>
  <si>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</si>
  <si>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</si>
  <si>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</si>
  <si>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</si>
  <si>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</si>
  <si>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</si>
  <si>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</si>
  <si>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</si>
  <si>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</si>
  <si>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</si>
  <si>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</si>
  <si>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</si>
  <si>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</si>
  <si>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</si>
  <si>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</si>
  <si>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</si>
  <si>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</si>
  <si>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</si>
  <si>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</si>
  <si>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</si>
  <si>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</si>
  <si>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</si>
  <si>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</si>
  <si>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</si>
  <si>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</si>
  <si>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</si>
  <si>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</si>
  <si>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</si>
  <si>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</si>
  <si>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</si>
  <si>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</si>
  <si>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</si>
  <si>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</si>
  <si>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</si>
  <si>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</si>
  <si>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</si>
  <si>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</si>
  <si>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</si>
  <si>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</si>
  <si>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</si>
  <si>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</si>
  <si>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</si>
  <si>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</si>
  <si>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</si>
  <si>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</si>
  <si>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</si>
  <si>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</si>
  <si>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</si>
  <si>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</si>
  <si>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</si>
  <si>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</si>
  <si>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</si>
  <si>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</si>
  <si>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</si>
  <si>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</si>
  <si>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</si>
  <si>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</si>
  <si>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</si>
  <si>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</si>
  <si>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</si>
  <si>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</si>
  <si>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</si>
  <si>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</si>
  <si>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</si>
  <si>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</si>
  <si>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</si>
  <si>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</si>
  <si>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</si>
  <si>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</si>
  <si>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</si>
  <si>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</si>
  <si>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</si>
  <si>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</si>
  <si>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</si>
  <si>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</si>
  <si>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</si>
  <si>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</si>
  <si>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</si>
  <si>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</si>
  <si>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</si>
  <si>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</si>
  <si>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</si>
  <si>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</si>
  <si>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</si>
  <si>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</si>
  <si>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</si>
  <si>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</si>
  <si>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</si>
  <si>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</si>
  <si>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</si>
  <si>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</si>
  <si>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</si>
  <si>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</si>
  <si>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</si>
  <si>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</si>
  <si>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</si>
  <si>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</si>
  <si>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</si>
  <si>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</si>
  <si>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</si>
  <si>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</si>
  <si>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</si>
  <si>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</si>
  <si>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</si>
  <si>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</si>
  <si>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</si>
  <si>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</si>
  <si>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</si>
  <si>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</si>
  <si>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</si>
  <si>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</si>
  <si>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</si>
  <si>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</si>
  <si>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</si>
  <si>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</si>
  <si>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</si>
  <si>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</si>
  <si>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</si>
  <si>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</si>
  <si>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</si>
  <si>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WEEK 1 – Excel Foundations &amp; Data Familiarity
Focus: Excel interface, formulas, and data basics
Day 1 – Dataset Selection &amp; Import
Choose any one (or more) of the 5 datasets provided.
Import into Excel.
Explore rows, columns, data types, and missing values.
Task: Write 3–4 key observations about the dataset.
Day 2 – Data Entry &amp; Formatting
Practice editing, inserting, deleting rows/columns.
Format headers (bold, colors, alignment).
Task: Make your dataset look clean and readable.
Day 3 – Basic Excel Formulas (Part 1)
Use: SUM(), AVERAGE(), MIN(), MAX(), COUNT()
Task: Create a summary table showing total, average, and count of main numeric columns.
Day 4 – Basic Excel Formulas (Part 2)
Use: IF(), SUMIF(), COUNTIF(), AVERAGEIF()
Task: Write at least 3 conditions (for example, count sales above 10,000).
Day 5 – Text Functions Practice
Use: LEFT(), RIGHT(), MID(), UPPER(), LOWER(), PROPER()
Task: Clean and format text columns (names, cities, etc.) properly.
Day 6 – Data Validation &amp; Cleaning Intro
Add drop-down lists.
Detect duplicates and remove them.
Handle blank cells using filters or formulas.
Task: Ensure your dataset has no duplicates and missing values handled.
Day 7 – Power Query Introduction (Optional if Excel 365)
Load data into Power Query.
Remove nulls, duplicates, replace inconsistent data.
Task: Clean data and re-load into Excel.</t>
  </si>
  <si>
    <t>Task 1</t>
  </si>
  <si>
    <t>150 data set</t>
  </si>
  <si>
    <t>unique id</t>
  </si>
  <si>
    <t>No blank cell</t>
  </si>
  <si>
    <t>data missing</t>
  </si>
  <si>
    <t>format ok</t>
  </si>
  <si>
    <t>Proper format okay</t>
  </si>
  <si>
    <t>No typos</t>
  </si>
  <si>
    <t>Format okay</t>
  </si>
  <si>
    <t>no decimal</t>
  </si>
  <si>
    <t>change to number format</t>
  </si>
  <si>
    <t xml:space="preserve">Null  value </t>
  </si>
  <si>
    <t>remove time</t>
  </si>
  <si>
    <t>Change to text format</t>
  </si>
  <si>
    <t>Invalid id</t>
  </si>
  <si>
    <t>Duplicates available</t>
  </si>
  <si>
    <t>Write 3–4 key observations about the dataset.</t>
  </si>
  <si>
    <t>Name -Blank fill</t>
  </si>
  <si>
    <t>Department - Blank fill</t>
  </si>
  <si>
    <t>Data format change</t>
  </si>
  <si>
    <t>SUBSTITUTE(K3,"N/A","0")</t>
  </si>
  <si>
    <t>IF(K3="N/A",ROUND(AVERAGEIF($E$3:$E$152,E3,$K$3:$K$152),0),K3)</t>
  </si>
  <si>
    <t>Salary Substitute</t>
  </si>
  <si>
    <t>Salary Average Filling</t>
  </si>
  <si>
    <t>Format-date</t>
  </si>
  <si>
    <t>IF(ISBLANK(P3),ROUND(AVERAGEIF($E$3:$E$152,E3,$P$3:$P$152),0),P3)</t>
  </si>
  <si>
    <t>Mode</t>
  </si>
  <si>
    <t>Gender -Unknown</t>
  </si>
  <si>
    <t>Country-Trim</t>
  </si>
  <si>
    <t>IF(ISBLANK(B1),"Unknown",B1)</t>
  </si>
  <si>
    <t>Task 2</t>
  </si>
  <si>
    <t xml:space="preserve"> Make your dataset look clean and readable.</t>
  </si>
  <si>
    <t>Task 3</t>
  </si>
  <si>
    <t>Create a summary table showing total, average, and count of main numeric columns.</t>
  </si>
  <si>
    <t>Mean</t>
  </si>
  <si>
    <t>Standard Error</t>
  </si>
  <si>
    <t>Median</t>
  </si>
  <si>
    <t>Standard Deviation</t>
  </si>
  <si>
    <t>Sample Variance</t>
  </si>
  <si>
    <t>Kurtosis</t>
  </si>
  <si>
    <t>Skewness</t>
  </si>
  <si>
    <t>Range</t>
  </si>
  <si>
    <t>Minimum</t>
  </si>
  <si>
    <t>Maximum</t>
  </si>
  <si>
    <t>Sum</t>
  </si>
  <si>
    <t>Count</t>
  </si>
  <si>
    <t>Performance</t>
  </si>
  <si>
    <t>Task 4</t>
  </si>
  <si>
    <t>Task 5</t>
  </si>
  <si>
    <t>Task 6</t>
  </si>
  <si>
    <t>Write at least 3 conditions (for example, count sales above 10,000).</t>
  </si>
  <si>
    <t>Ensure your dataset has no duplicates and missing values handled.</t>
  </si>
  <si>
    <t>IF(ISBLANK(D3),UPPER("Unknown"),UPPER(D3))</t>
  </si>
  <si>
    <t>FINANCE</t>
  </si>
  <si>
    <t>SALES</t>
  </si>
  <si>
    <t>MARKETING</t>
  </si>
  <si>
    <t>UNKNOWN</t>
  </si>
  <si>
    <t>IF(TRIM(F3)="",LOWER("Unknown"),LOWER(TRIM(F3)))</t>
  </si>
  <si>
    <t>unknown</t>
  </si>
  <si>
    <t>germany</t>
  </si>
  <si>
    <t>usa</t>
  </si>
  <si>
    <t>india</t>
  </si>
  <si>
    <t>uk</t>
  </si>
  <si>
    <t>australia</t>
  </si>
  <si>
    <t xml:space="preserve"> Clean and format text columns (names, cities, etc.) properly.</t>
  </si>
  <si>
    <t>Above 10K</t>
  </si>
  <si>
    <t>Above 50k</t>
  </si>
  <si>
    <t>Above 3 rating</t>
  </si>
  <si>
    <t xml:space="preserve">Task 4 </t>
  </si>
  <si>
    <t>Rating</t>
  </si>
  <si>
    <t>No need to Analysis</t>
  </si>
  <si>
    <t>Task 8</t>
  </si>
  <si>
    <t>0</t>
  </si>
  <si>
    <t>91180</t>
  </si>
  <si>
    <t>96418</t>
  </si>
  <si>
    <t>67531</t>
  </si>
  <si>
    <t>38333</t>
  </si>
  <si>
    <t>92959</t>
  </si>
  <si>
    <t>52093</t>
  </si>
  <si>
    <t>78720</t>
  </si>
  <si>
    <t>30686</t>
  </si>
  <si>
    <t>39423</t>
  </si>
  <si>
    <t>30280</t>
  </si>
  <si>
    <t>75633</t>
  </si>
  <si>
    <t>74815</t>
  </si>
  <si>
    <t>84924</t>
  </si>
  <si>
    <t>97981</t>
  </si>
  <si>
    <t>69952</t>
  </si>
  <si>
    <t>35163</t>
  </si>
  <si>
    <t>80588</t>
  </si>
  <si>
    <t>79145</t>
  </si>
  <si>
    <t>31293</t>
  </si>
  <si>
    <t>34306</t>
  </si>
  <si>
    <t>38837</t>
  </si>
  <si>
    <t>30357</t>
  </si>
  <si>
    <t>90019</t>
  </si>
  <si>
    <t>30402</t>
  </si>
  <si>
    <t>66882</t>
  </si>
  <si>
    <t>35627</t>
  </si>
  <si>
    <t>98475</t>
  </si>
  <si>
    <t>Task 9</t>
  </si>
  <si>
    <t>Task 10</t>
  </si>
  <si>
    <t>Task 11</t>
  </si>
  <si>
    <t>Task 12</t>
  </si>
  <si>
    <t>Task 13</t>
  </si>
  <si>
    <t>Task 14</t>
  </si>
  <si>
    <t>Generate Mean, Median, and Standard Deviation for numeric columns.</t>
  </si>
  <si>
    <t>Text to Cloumn</t>
  </si>
  <si>
    <t>Fill Unknown</t>
  </si>
  <si>
    <t>Create color-based rules to visually flag data issues.</t>
  </si>
  <si>
    <t>Employee Number</t>
  </si>
  <si>
    <t>Flash Fill</t>
  </si>
  <si>
    <t>Split one messy column into multiple clean ones.</t>
  </si>
  <si>
    <t>Apply multiple filters and sorts.</t>
  </si>
  <si>
    <t>WEEK 2 – Data Cleaning, Exploration &amp; Analysis
Focus: Transformations, descriptive statistics, and exploring patterns.
Day 8 – Handling Inconsistent Data
Use Text-to-Columns, Flash Fill, and TRIM() to fix messy data.
Task: Split one messy column into multiple clean ones.
Day 9 – Conditional Formatting for Data Cleaning
Highlight missing, duplicate, or outlier values.
Task: Create color-based rules to visually flag data issues.
Day 10 – Descriptive Statistics
Use Analysis ToolPak → Descriptive Statistics.
Task: Generate Mean, Median, and Standard Deviation for numeric columns.
Day 11 – Filtering, Sorting &amp; Exploring Data
Apply multiple filters and sorts.
Find top 5 and bottom 5 entries by value.
Task: Present a mini report of key patterns (Top 5 performers, etc.).
Day 12 – Date &amp; Time Functions
Practice: TODAY(), NOW(), YEAR(), MONTH(), WEEKDAY(), DATEDIF()
Task: Calculate age, duration, or time differences from your dataset.
Day 13 – Lookup &amp; Reference Functions (Part 1)
Use: VLOOKUP()
Task: Duplicate the dataset using Vlookup function.
Day 14 – (Part 2)
Use: INDEX(), MATCH()
Task: Use INDEX and MATCH to fill missing values in one column by fetching the correct data from another related table.</t>
  </si>
  <si>
    <t>Top 5 Perfomer</t>
  </si>
  <si>
    <t>Bottom 5 Salary</t>
  </si>
  <si>
    <t>IF(H3="Unknown",0,DATEDIF(H3, TODAY(), "MD"))</t>
  </si>
  <si>
    <t>Calculate age, duration, or time differences from your dataset.</t>
  </si>
  <si>
    <t>Joining Days</t>
  </si>
  <si>
    <t>Name -Blank Fill</t>
  </si>
  <si>
    <t>Department - Blank Fill</t>
  </si>
  <si>
    <t>Data Format Change</t>
  </si>
  <si>
    <t>Custom Icon Set</t>
  </si>
  <si>
    <t xml:space="preserve">Calculate Joining Days </t>
  </si>
  <si>
    <t>VLOOKUP(A233:A278,$A$3:$M$151,2)</t>
  </si>
  <si>
    <t>IF(N3="unknown",INDEX($N$3:$N$152,MODE(MATCH($N$3:$N$152,$N$3:$N$152,0))),N3)</t>
  </si>
  <si>
    <t>Email-Imputation</t>
  </si>
  <si>
    <t>Duplicate the dataset using Vlookup function.</t>
  </si>
  <si>
    <t xml:space="preserve"> Use INDEX and MATCH to fill missing values in one column by fetching the correct data from another related table.</t>
  </si>
  <si>
    <t>Task 8 &amp; 14</t>
  </si>
  <si>
    <t>WEEK 3 – Visualization &amp; Dashboard Building
Focus: Pivot Tables, Charts, and Dashboard creation
Day 15 – Pivot Tables (Part 1)
Connect multiple tables; if possible, do data modeling.
Create simple PivotTables.
Task: Show total sales by region or average marks by category.
Day 16 – Pivot Tables (Part 2)
Create simple PivotTables.
 Write a short description of 4 types of analysis (descriptive, diagnosis, predictive, and prescriptive analysis)  from the insights arrived from the pivot table 
Do forecast analysis
Group data by date, category, etc.
Task: Create one PivotChart linked to your PivotTable.
Day 17 – Charts &amp; Graphs (Part 1)
Practice: Bar, Column, Pie, Line charts.
Task: Visualize key KPIs (such as total sales or average score).
Day 18 – Charts &amp; Graphs (Part 2)
Create Combo charts, Sparklines, and use filters/slicers.
Task: Add interactivity to your visuals.
Day 19 – Advanced Visualization &amp; Storytelling
Add titles, legends, color themes, and storytelling flow.
Task: Arrange visuals neatly and make it presentation-ready.
Day 20 – Dashboard Design &amp; AI Integration
Use Quick Analysis for charts and summaries.
Try Excel Copilot or AI Analyst for formula suggestions and insights.
Task: Make a one-page dashboard summarizing your insights.
Day 21 – Documentation &amp; Submission
Write a summary:
Dataset used
Cleaning steps
Formulas used
Key insights
Screenshot of final dashboard
Task: Submit Excel file, PDF dashboard, and documentation.
FINAL DELIVERABLES
Excel file (.xlsx) with cleaned data, formulas, and dashboard.
PDF Dashboard Export showing final visuals.
Documentation (Word/PDF) describing your process, insights, and learnings.
NOTES:
You may use any or multiple datasets from the given five.
Each day’s task builds on the previous one.
End goal: Create a professional Excel dashboard project.</t>
  </si>
  <si>
    <t>Task 15</t>
  </si>
  <si>
    <t>Task 16</t>
  </si>
  <si>
    <t>Task 17</t>
  </si>
  <si>
    <t>Task 18</t>
  </si>
  <si>
    <t>Task 19</t>
  </si>
  <si>
    <t>Task 20</t>
  </si>
  <si>
    <t>Task 21</t>
  </si>
  <si>
    <t>Show total sales by region or average marks by category.</t>
  </si>
  <si>
    <t>Create one PivotChart linked to your PivotTable.</t>
  </si>
  <si>
    <t>Visualize key KPIs (such as total sales or average score).</t>
  </si>
  <si>
    <t>Add interactivity to your visuals.</t>
  </si>
  <si>
    <t>Arrange visuals neatly and make it presentation-ready.</t>
  </si>
  <si>
    <t>Dashboard Design &amp; AI Integration Use Quick Analysis for charts and summaries.</t>
  </si>
  <si>
    <t>Date of JoiningFormat Change</t>
  </si>
  <si>
    <t>Date of Joining Format Change</t>
  </si>
  <si>
    <t>Ratings</t>
  </si>
  <si>
    <t>Row Labels</t>
  </si>
  <si>
    <t>Sum of Salary</t>
  </si>
  <si>
    <t>Grand Total</t>
  </si>
  <si>
    <t>Sum of Joining Days</t>
  </si>
  <si>
    <t>Count of Employee ID</t>
  </si>
  <si>
    <t>Sum of Performance Rating</t>
  </si>
  <si>
    <t>Create simple PivotTables</t>
  </si>
  <si>
    <t>Female candidates got a low salary comparatively Male candidates</t>
  </si>
  <si>
    <t>Average of Joining Days</t>
  </si>
  <si>
    <t>Male and Female Candidates equal contribution based on Joining Days</t>
  </si>
  <si>
    <t>Average of Salary</t>
  </si>
  <si>
    <t>Unknown Employee count is high, but the Average salary is lower compared to the Male Candidates</t>
  </si>
  <si>
    <t xml:space="preserve">chris Lee is got high salary and high performer </t>
  </si>
  <si>
    <t>Unknow category salary is lesser than other candidates</t>
  </si>
  <si>
    <t>Australia is lower average salary earned candiates</t>
  </si>
  <si>
    <t>High Performer Rating  in India, and Australia has a low performer Rating</t>
  </si>
  <si>
    <t>Marketing Department is high salary and Highy Performance rating</t>
  </si>
  <si>
    <t>The Finance Department is a low Performer and salary</t>
  </si>
  <si>
    <t>Employee Performance Analysis</t>
  </si>
  <si>
    <t>Text to Column</t>
  </si>
  <si>
    <t>IF(ISBLANK(J1),"Unknown",J1)</t>
  </si>
  <si>
    <t>SUM()</t>
  </si>
  <si>
    <t>AVERAGE()</t>
  </si>
  <si>
    <t>MIN()</t>
  </si>
  <si>
    <t>MAX()</t>
  </si>
  <si>
    <t>COUNT()</t>
  </si>
  <si>
    <t>Write at least 3 conditions (for example, count sales above 10,000)</t>
  </si>
  <si>
    <t>AVERAGE(G3:G152)</t>
  </si>
  <si>
    <t>SUM(G3:G152)</t>
  </si>
  <si>
    <t>MIN(G3:G152)</t>
  </si>
  <si>
    <t>MAX(G3:G152)</t>
  </si>
  <si>
    <t>COUNT(G3:G152)</t>
  </si>
  <si>
    <t>Salary Above 10K</t>
  </si>
  <si>
    <t>COUNTIF(G3:G152,"&gt;10000")</t>
  </si>
  <si>
    <t>COUNTIF(G3:G152,"&gt;50000")</t>
  </si>
  <si>
    <t>COUNTIF(I3:I152,"&gt;3")</t>
  </si>
  <si>
    <t>COUNTIF($J$3:$J$152,J3)</t>
  </si>
  <si>
    <t xml:space="preserve"> COUNTIF()</t>
  </si>
  <si>
    <t>Descriptive Statistics</t>
  </si>
  <si>
    <t>Create color-based rules to visually flag data issues</t>
  </si>
  <si>
    <t>Remove Duplicates</t>
  </si>
  <si>
    <t>Find top 5 and bottom 5 entries by value</t>
  </si>
  <si>
    <t>Duplicate the dataset using Vlookup function</t>
  </si>
  <si>
    <t>Use INDEX and MATCH to fill missing values in one column by fetching the correct data from another related table</t>
  </si>
  <si>
    <t>Pivot Table</t>
  </si>
  <si>
    <t>Creation of charts</t>
  </si>
  <si>
    <t>Arrange visuals neatly and make it presentation-ready</t>
  </si>
  <si>
    <t>Creation of Combo Chart &amp; Slicers</t>
  </si>
  <si>
    <t>Creation of Dashboard</t>
  </si>
  <si>
    <t>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</si>
</sst>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yyyy\-mm\-dd\ hh:mm:ss"/>
    <numFmt numFmtId="165" formatCode="[$-14009]dd/mm/yyyy;@"/>
    <numFmt numFmtId="166" formatCode="_ * #,##0_ ;_ * \-#,##0_ ;_ * &quot;-&quot;??_ ;_ @_ "/>
  </numFmts>
  <fonts count="7"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
      <b/>
      <i/>
      <sz val="11"/>
      <color theme="1"/>
      <name val="Calibri"/>
      <family val="2"/>
      <scheme val="minor"/>
    </font>
    <font>
      <sz val="11"/>
      <color theme="1"/>
      <name val="Calibri"/>
      <family val="2"/>
      <scheme val="minor"/>
    </font>
    <font>
      <b/>
      <sz val="36"/>
      <color theme="1"/>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rgb="FFFFD5D5"/>
        <bgColor indexed="64"/>
      </patternFill>
    </fill>
    <fill>
      <patternFill patternType="solid">
        <fgColor theme="8" tint="0.59999389629810485"/>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
    <xf numFmtId="0" fontId="0" fillId="0" borderId="0"/>
    <xf numFmtId="43" fontId="5" fillId="0" borderId="0" applyFont="0" applyFill="0" applyBorder="0" applyAlignment="0" applyProtection="0"/>
  </cellStyleXfs>
  <cellXfs count="77">
    <xf numFmtId="0" fontId="0" fillId="0" borderId="0" xfId="0"/>
    <xf numFmtId="0" fontId="0" fillId="0" borderId="0" xfId="0" applyAlignment="1">
      <alignment horizontal="left"/>
    </xf>
    <xf numFmtId="0" fontId="0" fillId="0" borderId="1" xfId="0" applyBorder="1" applyAlignment="1">
      <alignment horizontal="left"/>
    </xf>
    <xf numFmtId="0" fontId="0" fillId="0" borderId="0" xfId="0"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center"/>
    </xf>
    <xf numFmtId="0" fontId="1" fillId="0" borderId="1" xfId="0" applyFont="1" applyBorder="1" applyAlignment="1">
      <alignment horizontal="left" vertical="top"/>
    </xf>
    <xf numFmtId="164" fontId="0" fillId="0" borderId="0" xfId="0" applyNumberFormat="1" applyAlignment="1">
      <alignment horizontal="left"/>
    </xf>
    <xf numFmtId="0" fontId="0" fillId="2" borderId="0" xfId="0" applyFill="1"/>
    <xf numFmtId="0" fontId="1" fillId="2" borderId="0" xfId="0" applyFont="1" applyFill="1"/>
    <xf numFmtId="0" fontId="2" fillId="3" borderId="1"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165" fontId="0" fillId="0" borderId="1" xfId="0" applyNumberFormat="1" applyBorder="1" applyAlignment="1">
      <alignment horizontal="center" vertical="center"/>
    </xf>
    <xf numFmtId="165" fontId="0" fillId="0" borderId="0" xfId="0" applyNumberFormat="1" applyAlignment="1">
      <alignment horizontal="center" vertical="center"/>
    </xf>
    <xf numFmtId="166" fontId="0" fillId="0" borderId="1" xfId="1" applyNumberFormat="1" applyFont="1" applyBorder="1" applyAlignment="1">
      <alignment horizontal="center"/>
    </xf>
    <xf numFmtId="0" fontId="0" fillId="0" borderId="0" xfId="0"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xf numFmtId="2" fontId="0" fillId="0" borderId="1" xfId="0" applyNumberFormat="1" applyBorder="1"/>
    <xf numFmtId="166" fontId="0" fillId="0" borderId="0" xfId="1" applyNumberFormat="1" applyFont="1" applyBorder="1" applyAlignment="1">
      <alignment horizontal="center"/>
    </xf>
    <xf numFmtId="1" fontId="0" fillId="0" borderId="1" xfId="0" applyNumberFormat="1" applyBorder="1" applyAlignment="1">
      <alignment horizontal="center" vertical="center"/>
    </xf>
    <xf numFmtId="14" fontId="2" fillId="2"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166" fontId="0" fillId="0" borderId="0" xfId="1" applyNumberFormat="1" applyFont="1" applyFill="1" applyBorder="1" applyAlignment="1">
      <alignment horizontal="center"/>
    </xf>
    <xf numFmtId="0" fontId="1" fillId="0" borderId="0" xfId="0" applyFont="1" applyAlignment="1">
      <alignment horizontal="center" vertical="center"/>
    </xf>
    <xf numFmtId="0" fontId="1" fillId="4" borderId="2"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wrapText="1"/>
    </xf>
    <xf numFmtId="166" fontId="2" fillId="2" borderId="1" xfId="1" applyNumberFormat="1" applyFont="1" applyFill="1" applyBorder="1" applyAlignment="1">
      <alignment horizontal="center" vertical="center" wrapText="1"/>
    </xf>
    <xf numFmtId="2" fontId="0" fillId="0" borderId="1" xfId="1" applyNumberFormat="1" applyFont="1" applyBorder="1" applyAlignment="1">
      <alignment horizontal="center" vertical="center"/>
    </xf>
    <xf numFmtId="0" fontId="0" fillId="0" borderId="1" xfId="0" pivotButton="1" applyBorder="1"/>
    <xf numFmtId="166" fontId="0" fillId="0" borderId="1" xfId="0" applyNumberFormat="1" applyBorder="1"/>
    <xf numFmtId="166" fontId="0" fillId="0" borderId="1" xfId="0" pivotButton="1" applyNumberFormat="1" applyBorder="1"/>
    <xf numFmtId="166" fontId="0" fillId="0" borderId="1" xfId="0" applyNumberFormat="1" applyBorder="1" applyAlignment="1">
      <alignment horizontal="left"/>
    </xf>
    <xf numFmtId="166" fontId="0" fillId="0" borderId="0" xfId="1" applyNumberFormat="1" applyFont="1"/>
    <xf numFmtId="0" fontId="4" fillId="2" borderId="1" xfId="0" applyFont="1" applyFill="1" applyBorder="1" applyAlignment="1">
      <alignment horizontal="centerContinuous"/>
    </xf>
    <xf numFmtId="0" fontId="0" fillId="0" borderId="0" xfId="0"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14" fontId="2" fillId="2" borderId="1" xfId="0" applyNumberFormat="1" applyFont="1" applyFill="1" applyBorder="1" applyAlignment="1">
      <alignment horizontal="left" vertical="center"/>
    </xf>
    <xf numFmtId="166" fontId="2" fillId="2" borderId="1" xfId="1" applyNumberFormat="1" applyFont="1" applyFill="1" applyBorder="1" applyAlignment="1">
      <alignment vertical="center" wrapText="1"/>
    </xf>
    <xf numFmtId="0" fontId="0" fillId="0" borderId="1" xfId="0" applyBorder="1" applyAlignment="1">
      <alignment wrapText="1"/>
    </xf>
    <xf numFmtId="0" fontId="0" fillId="0" borderId="1" xfId="0" applyBorder="1" applyAlignment="1">
      <alignment horizontal="left"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left"/>
    </xf>
    <xf numFmtId="0" fontId="0" fillId="0" borderId="0" xfId="0" applyAlignment="1">
      <alignment horizontal="left" vertical="center"/>
    </xf>
    <xf numFmtId="0" fontId="1" fillId="4" borderId="1" xfId="0" applyFont="1" applyFill="1" applyBorder="1" applyAlignment="1">
      <alignment horizontal="center"/>
    </xf>
    <xf numFmtId="0" fontId="1"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left"/>
    </xf>
    <xf numFmtId="0" fontId="6" fillId="5" borderId="0" xfId="0" applyFont="1" applyFill="1" applyAlignment="1">
      <alignment horizontal="center" vertical="center"/>
    </xf>
    <xf numFmtId="0" fontId="0" fillId="0" borderId="12" xfId="0" applyBorder="1" applyAlignment="1">
      <alignment horizontal="left" vertical="center"/>
    </xf>
    <xf numFmtId="0" fontId="0" fillId="0" borderId="14" xfId="0" applyBorder="1" applyAlignment="1">
      <alignment horizontal="left" vertical="center"/>
    </xf>
    <xf numFmtId="0" fontId="0" fillId="0" borderId="13" xfId="0" applyBorder="1" applyAlignment="1">
      <alignment horizontal="left" vertical="center"/>
    </xf>
    <xf numFmtId="0" fontId="0" fillId="0" borderId="1" xfId="0" applyNumberFormat="1" applyBorder="1"/>
  </cellXfs>
  <cellStyles count="2">
    <cellStyle name="Comma" xfId="1" builtinId="3"/>
    <cellStyle name="Normal" xfId="0" builtinId="0"/>
  </cellStyles>
  <dxfs count="46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lor theme="1"/>
      </font>
      <fill>
        <patternFill patternType="solid">
          <fgColor theme="8" tint="0.79992065187536243"/>
          <bgColor theme="8" tint="0.59996337778862885"/>
        </patternFill>
      </fill>
    </dxf>
  </dxfs>
  <tableStyles count="1" defaultTableStyle="TableStyleMedium9" defaultPivotStyle="PivotStyleLight16">
    <tableStyle name="Slicer Style 1" pivot="0" table="0" count="1" xr9:uid="{2715EFEC-0587-4896-9A02-38D779F9B50D}">
      <tableStyleElement type="wholeTable" dxfId="460"/>
    </tableStyle>
  </tableStyles>
  <colors>
    <mruColors>
      <color rgb="FFE1EACC"/>
      <color rgb="FFEBF1DE"/>
      <color rgb="FFEDF2E2"/>
      <color rgb="FFF4F7ED"/>
      <color rgb="FFFFD5D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Table!PivotTable6</c:name>
    <c:fmtId val="0"/>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solidFill>
                  <a:schemeClr val="tx1"/>
                </a:solidFill>
              </a:rPr>
              <a:t>Gender</a:t>
            </a:r>
            <a:r>
              <a:rPr lang="en-US" baseline="0">
                <a:solidFill>
                  <a:schemeClr val="tx1"/>
                </a:solidFill>
              </a:rPr>
              <a:t> Vs Sum Salary</a:t>
            </a:r>
            <a:endParaRPr lang="en-US">
              <a:solidFill>
                <a:schemeClr val="tx1"/>
              </a:solidFill>
            </a:endParaRPr>
          </a:p>
        </c:rich>
      </c:tx>
      <c:layout>
        <c:manualLayout>
          <c:xMode val="edge"/>
          <c:yMode val="edge"/>
          <c:x val="0.28615266841644793"/>
          <c:y val="2.212744240303295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833333333333334"/>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83333333333333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2499999999999989"/>
              <c:y val="2.31481481481481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687510936132982"/>
                  <c:h val="0.14807888597258673"/>
                </c:manualLayout>
              </c15:layout>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6646327688338319"/>
              <c:y val="5.25095539063364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943477606700436"/>
                  <c:h val="0.19754243822970405"/>
                </c:manualLayout>
              </c15:layout>
            </c:ext>
          </c:extLst>
        </c:dLbl>
      </c:pivotFmt>
    </c:pivotFmts>
    <c:plotArea>
      <c:layout>
        <c:manualLayout>
          <c:layoutTarget val="inner"/>
          <c:xMode val="edge"/>
          <c:yMode val="edge"/>
          <c:x val="0.27112095363079614"/>
          <c:y val="0.21277486147564889"/>
          <c:w val="0.40047572178477692"/>
          <c:h val="0.66745953630796151"/>
        </c:manualLayout>
      </c:layout>
      <c:doughnutChart>
        <c:varyColors val="1"/>
        <c:ser>
          <c:idx val="0"/>
          <c:order val="0"/>
          <c:tx>
            <c:strRef>
              <c:f>'Pivot Table'!$B$4</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5589-495C-AF8B-98B8A40D2A23}"/>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5589-495C-AF8B-98B8A40D2A23}"/>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4-5589-495C-AF8B-98B8A40D2A23}"/>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2-5589-495C-AF8B-98B8A40D2A23}"/>
              </c:ext>
            </c:extLst>
          </c:dPt>
          <c:dLbls>
            <c:dLbl>
              <c:idx val="0"/>
              <c:layout>
                <c:manualLayout>
                  <c:x val="0.10833333333333334"/>
                  <c:y val="-4.629629629629633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589-495C-AF8B-98B8A40D2A23}"/>
                </c:ext>
              </c:extLst>
            </c:dLbl>
            <c:dLbl>
              <c:idx val="1"/>
              <c:layout>
                <c:manualLayout>
                  <c:x val="0.12499999999999989"/>
                  <c:y val="2.31481481481481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687510936132982"/>
                      <c:h val="0.14807888597258673"/>
                    </c:manualLayout>
                  </c15:layout>
                </c:ext>
                <c:ext xmlns:c16="http://schemas.microsoft.com/office/drawing/2014/chart" uri="{C3380CC4-5D6E-409C-BE32-E72D297353CC}">
                  <c16:uniqueId val="{00000003-5589-495C-AF8B-98B8A40D2A23}"/>
                </c:ext>
              </c:extLst>
            </c:dLbl>
            <c:dLbl>
              <c:idx val="2"/>
              <c:layout>
                <c:manualLayout>
                  <c:x val="-0.16646327688338319"/>
                  <c:y val="5.25095539063364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943477606700436"/>
                      <c:h val="0.19754243822970405"/>
                    </c:manualLayout>
                  </c15:layout>
                </c:ext>
                <c:ext xmlns:c16="http://schemas.microsoft.com/office/drawing/2014/chart" uri="{C3380CC4-5D6E-409C-BE32-E72D297353CC}">
                  <c16:uniqueId val="{00000004-5589-495C-AF8B-98B8A40D2A23}"/>
                </c:ext>
              </c:extLst>
            </c:dLbl>
            <c:dLbl>
              <c:idx val="3"/>
              <c:layout>
                <c:manualLayout>
                  <c:x val="-0.10833333333333331"/>
                  <c:y val="-6.018518518518518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589-495C-AF8B-98B8A40D2A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Table'!$A$5:$A$9</c:f>
              <c:strCache>
                <c:ptCount val="4"/>
                <c:pt idx="0">
                  <c:v>Female</c:v>
                </c:pt>
                <c:pt idx="1">
                  <c:v>Male</c:v>
                </c:pt>
                <c:pt idx="2">
                  <c:v>Other</c:v>
                </c:pt>
                <c:pt idx="3">
                  <c:v>Unknown</c:v>
                </c:pt>
              </c:strCache>
            </c:strRef>
          </c:cat>
          <c:val>
            <c:numRef>
              <c:f>'Pivot Table'!$B$5:$B$9</c:f>
              <c:numCache>
                <c:formatCode>_ * #,##0_ ;_ * \-#,##0_ ;_ * "-"??_ ;_ @_ </c:formatCode>
                <c:ptCount val="4"/>
                <c:pt idx="0">
                  <c:v>2148973</c:v>
                </c:pt>
                <c:pt idx="1">
                  <c:v>2203211</c:v>
                </c:pt>
                <c:pt idx="2">
                  <c:v>2391648</c:v>
                </c:pt>
                <c:pt idx="3">
                  <c:v>3192253</c:v>
                </c:pt>
              </c:numCache>
            </c:numRef>
          </c:val>
          <c:extLst>
            <c:ext xmlns:c16="http://schemas.microsoft.com/office/drawing/2014/chart" uri="{C3380CC4-5D6E-409C-BE32-E72D297353CC}">
              <c16:uniqueId val="{00000000-5589-495C-AF8B-98B8A40D2A2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accent3">
          <a:lumMod val="20000"/>
          <a:lumOff val="80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[Employee_Details Day 19 to 21 days Challenge.xlsx]Pivot Table!PivotTable8</c:name>
    <c:fmtId val="0"/>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t>Gender Vs Joining Days</a:t>
            </a:r>
          </a:p>
        </c:rich>
      </c:tx>
      <c:layout>
        <c:manualLayout>
          <c:xMode val="edge"/>
          <c:yMode val="edge"/>
          <c:x val="0.31559922042084826"/>
          <c:y val="1.842256430490359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pivotFmt>
      <c:pivotFmt>
        <c:idx val="2"/>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14848820002032284"/>
          <c:y val="9.6718462600743862E-2"/>
          <c:w val="0.78348401033723525"/>
          <c:h val="0.74483225312313239"/>
        </c:manualLayout>
      </c:layout>
      <c:areaChart>
        <c:grouping val="standard"/>
        <c:varyColors val="0"/>
        <c:ser>
          <c:idx val="0"/>
          <c:order val="0"/>
          <c:tx>
            <c:strRef>
              <c:f>'Pivot Table'!$B$12</c:f>
              <c:strCache>
                <c:ptCount val="1"/>
                <c:pt idx="0">
                  <c:v>Total</c:v>
                </c:pt>
              </c:strCache>
            </c:strRef>
          </c:tx>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Table'!$A$13:$A$17</c:f>
              <c:strCache>
                <c:ptCount val="4"/>
                <c:pt idx="0">
                  <c:v>Female</c:v>
                </c:pt>
                <c:pt idx="1">
                  <c:v>Male</c:v>
                </c:pt>
                <c:pt idx="2">
                  <c:v>Other</c:v>
                </c:pt>
                <c:pt idx="3">
                  <c:v>Unknown</c:v>
                </c:pt>
              </c:strCache>
            </c:strRef>
          </c:cat>
          <c:val>
            <c:numRef>
              <c:f>'Pivot Table'!$B$13:$B$17</c:f>
              <c:numCache>
                <c:formatCode>General</c:formatCode>
                <c:ptCount val="4"/>
                <c:pt idx="0">
                  <c:v>400</c:v>
                </c:pt>
                <c:pt idx="1">
                  <c:v>486</c:v>
                </c:pt>
                <c:pt idx="2">
                  <c:v>407</c:v>
                </c:pt>
                <c:pt idx="3">
                  <c:v>809</c:v>
                </c:pt>
              </c:numCache>
            </c:numRef>
          </c:val>
          <c:extLst>
            <c:ext xmlns:c16="http://schemas.microsoft.com/office/drawing/2014/chart" uri="{C3380CC4-5D6E-409C-BE32-E72D297353CC}">
              <c16:uniqueId val="{00000000-0A7E-4BDC-8463-55656BCD8909}"/>
            </c:ext>
          </c:extLst>
        </c:ser>
        <c:dLbls>
          <c:showLegendKey val="0"/>
          <c:showVal val="1"/>
          <c:showCatName val="0"/>
          <c:showSerName val="0"/>
          <c:showPercent val="0"/>
          <c:showBubbleSize val="0"/>
        </c:dLbls>
        <c:axId val="210955808"/>
        <c:axId val="221064560"/>
      </c:areaChart>
      <c:catAx>
        <c:axId val="21095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1064560"/>
        <c:crosses val="autoZero"/>
        <c:auto val="1"/>
        <c:lblAlgn val="ctr"/>
        <c:lblOffset val="100"/>
        <c:noMultiLvlLbl val="0"/>
      </c:catAx>
      <c:valAx>
        <c:axId val="221064560"/>
        <c:scaling>
          <c:orientation val="minMax"/>
          <c:max val="800"/>
          <c:min val="200"/>
        </c:scaling>
        <c:delete val="0"/>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Joining Days</a:t>
                </a:r>
              </a:p>
            </c:rich>
          </c:tx>
          <c:layout>
            <c:manualLayout>
              <c:xMode val="edge"/>
              <c:yMode val="edge"/>
              <c:x val="3.1005177973951508E-2"/>
              <c:y val="0.3402455423196764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955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Table!PivotTable32</c:name>
    <c:fmtId val="0"/>
  </c:pivotSource>
  <c:chart>
    <c:autoTitleDeleted val="1"/>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1173665791776026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28403324584427"/>
              <c:y val="-8.792833187518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82655293088364E-2"/>
              <c:y val="7.8738334791484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840113735783028E-2"/>
              <c:y val="2.7812408865558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821084864391953E-3"/>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9566929133858268E-4"/>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53368328958883E-2"/>
          <c:y val="5.0925925925925923E-2"/>
          <c:w val="0.77261548556430437"/>
          <c:h val="0.65100721784776905"/>
        </c:manualLayout>
      </c:layout>
      <c:lineChart>
        <c:grouping val="stacked"/>
        <c:varyColors val="0"/>
        <c:ser>
          <c:idx val="0"/>
          <c:order val="0"/>
          <c:tx>
            <c:strRef>
              <c:f>'Pivot Table'!$B$20</c:f>
              <c:strCache>
                <c:ptCount val="1"/>
                <c:pt idx="0">
                  <c:v>Count of Employee ID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4"/>
                <c:pt idx="0">
                  <c:v>Female</c:v>
                </c:pt>
                <c:pt idx="1">
                  <c:v>Male</c:v>
                </c:pt>
                <c:pt idx="2">
                  <c:v>Other</c:v>
                </c:pt>
                <c:pt idx="3">
                  <c:v>Unknown</c:v>
                </c:pt>
              </c:strCache>
            </c:strRef>
          </c:cat>
          <c:val>
            <c:numRef>
              <c:f>'Pivot Table'!$B$21:$B$25</c:f>
              <c:numCache>
                <c:formatCode>_ * #,##0_ ;_ * \-#,##0_ ;_ * "-"??_ ;_ @_ </c:formatCode>
                <c:ptCount val="4"/>
                <c:pt idx="0">
                  <c:v>34</c:v>
                </c:pt>
                <c:pt idx="1">
                  <c:v>32</c:v>
                </c:pt>
                <c:pt idx="2">
                  <c:v>35</c:v>
                </c:pt>
                <c:pt idx="3">
                  <c:v>49</c:v>
                </c:pt>
              </c:numCache>
            </c:numRef>
          </c:val>
          <c:smooth val="0"/>
          <c:extLst>
            <c:ext xmlns:c16="http://schemas.microsoft.com/office/drawing/2014/chart" uri="{C3380CC4-5D6E-409C-BE32-E72D297353CC}">
              <c16:uniqueId val="{00000000-4803-4C7C-A6C0-3FEFED237BB4}"/>
            </c:ext>
          </c:extLst>
        </c:ser>
        <c:ser>
          <c:idx val="1"/>
          <c:order val="1"/>
          <c:tx>
            <c:strRef>
              <c:f>'Pivot Table'!$C$20</c:f>
              <c:strCache>
                <c:ptCount val="1"/>
                <c:pt idx="0">
                  <c:v>Average of Joining Days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4803-4C7C-A6C0-3FEFED237BB4}"/>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4803-4C7C-A6C0-3FEFED237BB4}"/>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4803-4C7C-A6C0-3FEFED237BB4}"/>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4803-4C7C-A6C0-3FEFED237BB4}"/>
              </c:ext>
            </c:extLst>
          </c:dPt>
          <c:dLbls>
            <c:dLbl>
              <c:idx val="0"/>
              <c:layout>
                <c:manualLayout>
                  <c:x val="3.9566929133858268E-4"/>
                  <c:y val="6.4849445902595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803-4C7C-A6C0-3FEFED237BB4}"/>
                </c:ext>
              </c:extLst>
            </c:dLbl>
            <c:dLbl>
              <c:idx val="1"/>
              <c:layout>
                <c:manualLayout>
                  <c:x val="-2.3821084864391953E-3"/>
                  <c:y val="6.4849445902595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03-4C7C-A6C0-3FEFED237BB4}"/>
                </c:ext>
              </c:extLst>
            </c:dLbl>
            <c:dLbl>
              <c:idx val="2"/>
              <c:layout>
                <c:manualLayout>
                  <c:x val="1.9840113735783028E-2"/>
                  <c:y val="2.78124088655584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03-4C7C-A6C0-3FEFED237BB4}"/>
                </c:ext>
              </c:extLst>
            </c:dLbl>
            <c:dLbl>
              <c:idx val="3"/>
              <c:layout>
                <c:manualLayout>
                  <c:x val="-2.182655293088364E-2"/>
                  <c:y val="7.8738334791484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03-4C7C-A6C0-3FEFED237B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4"/>
                <c:pt idx="0">
                  <c:v>Female</c:v>
                </c:pt>
                <c:pt idx="1">
                  <c:v>Male</c:v>
                </c:pt>
                <c:pt idx="2">
                  <c:v>Other</c:v>
                </c:pt>
                <c:pt idx="3">
                  <c:v>Unknown</c:v>
                </c:pt>
              </c:strCache>
            </c:strRef>
          </c:cat>
          <c:val>
            <c:numRef>
              <c:f>'Pivot Table'!$C$21:$C$25</c:f>
              <c:numCache>
                <c:formatCode>_ * #,##0_ ;_ * \-#,##0_ ;_ * "-"??_ ;_ @_ </c:formatCode>
                <c:ptCount val="4"/>
                <c:pt idx="0">
                  <c:v>11.764705882352942</c:v>
                </c:pt>
                <c:pt idx="1">
                  <c:v>15.1875</c:v>
                </c:pt>
                <c:pt idx="2">
                  <c:v>11.628571428571428</c:v>
                </c:pt>
                <c:pt idx="3">
                  <c:v>16.510204081632654</c:v>
                </c:pt>
              </c:numCache>
            </c:numRef>
          </c:val>
          <c:smooth val="0"/>
          <c:extLst>
            <c:ext xmlns:c16="http://schemas.microsoft.com/office/drawing/2014/chart" uri="{C3380CC4-5D6E-409C-BE32-E72D297353CC}">
              <c16:uniqueId val="{00000001-4803-4C7C-A6C0-3FEFED237BB4}"/>
            </c:ext>
          </c:extLst>
        </c:ser>
        <c:dLbls>
          <c:dLblPos val="t"/>
          <c:showLegendKey val="0"/>
          <c:showVal val="1"/>
          <c:showCatName val="0"/>
          <c:showSerName val="0"/>
          <c:showPercent val="0"/>
          <c:showBubbleSize val="0"/>
        </c:dLbls>
        <c:marker val="1"/>
        <c:smooth val="0"/>
        <c:axId val="210972608"/>
        <c:axId val="98144208"/>
      </c:lineChart>
      <c:lineChart>
        <c:grouping val="stacked"/>
        <c:varyColors val="0"/>
        <c:ser>
          <c:idx val="2"/>
          <c:order val="2"/>
          <c:tx>
            <c:strRef>
              <c:f>'Pivot Table'!$D$20</c:f>
              <c:strCache>
                <c:ptCount val="1"/>
                <c:pt idx="0">
                  <c:v>Average of Salary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4803-4C7C-A6C0-3FEFED237BB4}"/>
              </c:ext>
            </c:extLst>
          </c:dPt>
          <c:dPt>
            <c:idx val="3"/>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4803-4C7C-A6C0-3FEFED237BB4}"/>
              </c:ext>
            </c:extLst>
          </c:dPt>
          <c:dLbls>
            <c:dLbl>
              <c:idx val="2"/>
              <c:layout>
                <c:manualLayout>
                  <c:x val="-8.1173665791776026E-2"/>
                  <c:y val="-7.8669072615923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03-4C7C-A6C0-3FEFED237BB4}"/>
                </c:ext>
              </c:extLst>
            </c:dLbl>
            <c:dLbl>
              <c:idx val="3"/>
              <c:layout>
                <c:manualLayout>
                  <c:x val="-0.1228403324584427"/>
                  <c:y val="-8.79283318751822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03-4C7C-A6C0-3FEFED237B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4"/>
                <c:pt idx="0">
                  <c:v>Female</c:v>
                </c:pt>
                <c:pt idx="1">
                  <c:v>Male</c:v>
                </c:pt>
                <c:pt idx="2">
                  <c:v>Other</c:v>
                </c:pt>
                <c:pt idx="3">
                  <c:v>Unknown</c:v>
                </c:pt>
              </c:strCache>
            </c:strRef>
          </c:cat>
          <c:val>
            <c:numRef>
              <c:f>'Pivot Table'!$D$21:$D$25</c:f>
              <c:numCache>
                <c:formatCode>_ * #,##0_ ;_ * \-#,##0_ ;_ * "-"??_ ;_ @_ </c:formatCode>
                <c:ptCount val="4"/>
                <c:pt idx="0">
                  <c:v>63205.088235294119</c:v>
                </c:pt>
                <c:pt idx="1">
                  <c:v>68850.34375</c:v>
                </c:pt>
                <c:pt idx="2">
                  <c:v>68332.800000000003</c:v>
                </c:pt>
                <c:pt idx="3">
                  <c:v>65148.020408163262</c:v>
                </c:pt>
              </c:numCache>
            </c:numRef>
          </c:val>
          <c:smooth val="0"/>
          <c:extLst>
            <c:ext xmlns:c16="http://schemas.microsoft.com/office/drawing/2014/chart" uri="{C3380CC4-5D6E-409C-BE32-E72D297353CC}">
              <c16:uniqueId val="{00000002-4803-4C7C-A6C0-3FEFED237BB4}"/>
            </c:ext>
          </c:extLst>
        </c:ser>
        <c:dLbls>
          <c:dLblPos val="t"/>
          <c:showLegendKey val="0"/>
          <c:showVal val="1"/>
          <c:showCatName val="0"/>
          <c:showSerName val="0"/>
          <c:showPercent val="0"/>
          <c:showBubbleSize val="0"/>
        </c:dLbls>
        <c:marker val="1"/>
        <c:smooth val="0"/>
        <c:axId val="6035104"/>
        <c:axId val="98132976"/>
      </c:lineChart>
      <c:catAx>
        <c:axId val="210972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144208"/>
        <c:crosses val="autoZero"/>
        <c:auto val="1"/>
        <c:lblAlgn val="ctr"/>
        <c:lblOffset val="100"/>
        <c:noMultiLvlLbl val="0"/>
      </c:catAx>
      <c:valAx>
        <c:axId val="9814420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972608"/>
        <c:crosses val="autoZero"/>
        <c:crossBetween val="between"/>
      </c:valAx>
      <c:valAx>
        <c:axId val="98132976"/>
        <c:scaling>
          <c:orientation val="minMax"/>
        </c:scaling>
        <c:delete val="0"/>
        <c:axPos val="r"/>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35104"/>
        <c:crosses val="max"/>
        <c:crossBetween val="between"/>
      </c:valAx>
      <c:catAx>
        <c:axId val="6035104"/>
        <c:scaling>
          <c:orientation val="minMax"/>
        </c:scaling>
        <c:delete val="1"/>
        <c:axPos val="b"/>
        <c:numFmt formatCode="General" sourceLinked="1"/>
        <c:majorTickMark val="none"/>
        <c:minorTickMark val="none"/>
        <c:tickLblPos val="nextTo"/>
        <c:crossAx val="98132976"/>
        <c:crosses val="autoZero"/>
        <c:auto val="1"/>
        <c:lblAlgn val="ctr"/>
        <c:lblOffset val="100"/>
        <c:noMultiLvlLbl val="0"/>
      </c:catAx>
      <c:spPr>
        <a:noFill/>
        <a:ln>
          <a:noFill/>
        </a:ln>
        <a:effectLst/>
      </c:spPr>
    </c:plotArea>
    <c:legend>
      <c:legendPos val="b"/>
      <c:layout>
        <c:manualLayout>
          <c:xMode val="edge"/>
          <c:yMode val="edge"/>
          <c:x val="7.9843355383015485E-2"/>
          <c:y val="0.70670413027900303"/>
          <c:w val="0.83100374922787013"/>
          <c:h val="0.16193516703351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Table!PivotTable14</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0" i="0" u="none" strike="noStrike" baseline="0">
                <a:effectLst/>
              </a:rPr>
              <a:t>E.Count Vs </a:t>
            </a:r>
            <a:r>
              <a:rPr lang="en-IN" b="0"/>
              <a:t>JD</a:t>
            </a:r>
            <a:r>
              <a:rPr lang="en-IN" b="0" baseline="0"/>
              <a:t> Vs Salary</a:t>
            </a:r>
            <a:endParaRPr lang="en-IN"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360591568215704E-3"/>
              <c:y val="5.00718212515699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9013084669277"/>
          <c:y val="0.15102196752626551"/>
          <c:w val="0.82339897798008965"/>
          <c:h val="0.5916046597327197"/>
        </c:manualLayout>
      </c:layout>
      <c:barChart>
        <c:barDir val="col"/>
        <c:grouping val="clustered"/>
        <c:varyColors val="0"/>
        <c:ser>
          <c:idx val="0"/>
          <c:order val="0"/>
          <c:tx>
            <c:strRef>
              <c:f>'Pivot Table'!$B$28</c:f>
              <c:strCache>
                <c:ptCount val="1"/>
                <c:pt idx="0">
                  <c:v>Sum of Joining Days</c:v>
                </c:pt>
              </c:strCache>
            </c:strRef>
          </c:tx>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7"/>
            <c:invertIfNegative val="0"/>
            <c:bubble3D val="0"/>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52A-4278-A920-1BD9AD6ADF8A}"/>
              </c:ext>
            </c:extLst>
          </c:dPt>
          <c:dLbls>
            <c:dLbl>
              <c:idx val="7"/>
              <c:layout>
                <c:manualLayout>
                  <c:x val="-7.0360591568215704E-3"/>
                  <c:y val="5.00718212515699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2A-4278-A920-1BD9AD6ADF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Table'!$B$29:$B$37</c:f>
              <c:numCache>
                <c:formatCode>_ * #,##0_ ;_ * \-#,##0_ ;_ * "-"??_ ;_ @_ </c:formatCode>
                <c:ptCount val="8"/>
                <c:pt idx="0">
                  <c:v>260</c:v>
                </c:pt>
                <c:pt idx="1">
                  <c:v>373</c:v>
                </c:pt>
                <c:pt idx="2">
                  <c:v>299</c:v>
                </c:pt>
                <c:pt idx="3">
                  <c:v>345</c:v>
                </c:pt>
                <c:pt idx="4">
                  <c:v>218</c:v>
                </c:pt>
                <c:pt idx="5">
                  <c:v>239</c:v>
                </c:pt>
                <c:pt idx="6">
                  <c:v>278</c:v>
                </c:pt>
                <c:pt idx="7">
                  <c:v>90</c:v>
                </c:pt>
              </c:numCache>
            </c:numRef>
          </c:val>
          <c:extLst>
            <c:ext xmlns:c16="http://schemas.microsoft.com/office/drawing/2014/chart" uri="{C3380CC4-5D6E-409C-BE32-E72D297353CC}">
              <c16:uniqueId val="{00000000-952A-4278-A920-1BD9AD6ADF8A}"/>
            </c:ext>
          </c:extLst>
        </c:ser>
        <c:dLbls>
          <c:showLegendKey val="0"/>
          <c:showVal val="1"/>
          <c:showCatName val="0"/>
          <c:showSerName val="0"/>
          <c:showPercent val="0"/>
          <c:showBubbleSize val="0"/>
        </c:dLbls>
        <c:gapWidth val="269"/>
        <c:axId val="347022816"/>
        <c:axId val="98149200"/>
      </c:barChart>
      <c:lineChart>
        <c:grouping val="standard"/>
        <c:varyColors val="0"/>
        <c:ser>
          <c:idx val="1"/>
          <c:order val="1"/>
          <c:tx>
            <c:strRef>
              <c:f>'Pivot Table'!$C$28</c:f>
              <c:strCache>
                <c:ptCount val="1"/>
                <c:pt idx="0">
                  <c:v>Sum of Salary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Table'!$C$29:$C$37</c:f>
              <c:numCache>
                <c:formatCode>_ * #,##0_ ;_ * \-#,##0_ ;_ * "-"??_ ;_ @_ </c:formatCode>
                <c:ptCount val="8"/>
                <c:pt idx="0">
                  <c:v>1277032</c:v>
                </c:pt>
                <c:pt idx="1">
                  <c:v>1450471</c:v>
                </c:pt>
                <c:pt idx="2">
                  <c:v>1569004</c:v>
                </c:pt>
                <c:pt idx="3">
                  <c:v>1472582</c:v>
                </c:pt>
                <c:pt idx="4">
                  <c:v>997236</c:v>
                </c:pt>
                <c:pt idx="5">
                  <c:v>921521</c:v>
                </c:pt>
                <c:pt idx="6">
                  <c:v>1534999</c:v>
                </c:pt>
                <c:pt idx="7">
                  <c:v>713240</c:v>
                </c:pt>
              </c:numCache>
            </c:numRef>
          </c:val>
          <c:smooth val="0"/>
          <c:extLst>
            <c:ext xmlns:c16="http://schemas.microsoft.com/office/drawing/2014/chart" uri="{C3380CC4-5D6E-409C-BE32-E72D297353CC}">
              <c16:uniqueId val="{00000001-952A-4278-A920-1BD9AD6ADF8A}"/>
            </c:ext>
          </c:extLst>
        </c:ser>
        <c:dLbls>
          <c:showLegendKey val="0"/>
          <c:showVal val="1"/>
          <c:showCatName val="0"/>
          <c:showSerName val="0"/>
          <c:showPercent val="0"/>
          <c:showBubbleSize val="0"/>
        </c:dLbls>
        <c:marker val="1"/>
        <c:smooth val="0"/>
        <c:axId val="207845936"/>
        <c:axId val="98147952"/>
      </c:lineChart>
      <c:lineChart>
        <c:grouping val="standard"/>
        <c:varyColors val="0"/>
        <c:ser>
          <c:idx val="2"/>
          <c:order val="2"/>
          <c:tx>
            <c:strRef>
              <c:f>'Pivot Table'!$D$28</c:f>
              <c:strCache>
                <c:ptCount val="1"/>
                <c:pt idx="0">
                  <c:v>Sum of Performance Rating</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Table'!$D$29:$D$37</c:f>
              <c:numCache>
                <c:formatCode>_ * #,##0_ ;_ * \-#,##0_ ;_ * "-"??_ ;_ @_ </c:formatCode>
                <c:ptCount val="8"/>
                <c:pt idx="0">
                  <c:v>58</c:v>
                </c:pt>
                <c:pt idx="1">
                  <c:v>61</c:v>
                </c:pt>
                <c:pt idx="2">
                  <c:v>78</c:v>
                </c:pt>
                <c:pt idx="3">
                  <c:v>68</c:v>
                </c:pt>
                <c:pt idx="4">
                  <c:v>41</c:v>
                </c:pt>
                <c:pt idx="5">
                  <c:v>33</c:v>
                </c:pt>
                <c:pt idx="6">
                  <c:v>66</c:v>
                </c:pt>
                <c:pt idx="7">
                  <c:v>29</c:v>
                </c:pt>
              </c:numCache>
            </c:numRef>
          </c:val>
          <c:smooth val="0"/>
          <c:extLst>
            <c:ext xmlns:c16="http://schemas.microsoft.com/office/drawing/2014/chart" uri="{C3380CC4-5D6E-409C-BE32-E72D297353CC}">
              <c16:uniqueId val="{00000002-952A-4278-A920-1BD9AD6ADF8A}"/>
            </c:ext>
          </c:extLst>
        </c:ser>
        <c:dLbls>
          <c:showLegendKey val="0"/>
          <c:showVal val="1"/>
          <c:showCatName val="0"/>
          <c:showSerName val="0"/>
          <c:showPercent val="0"/>
          <c:showBubbleSize val="0"/>
        </c:dLbls>
        <c:marker val="1"/>
        <c:smooth val="0"/>
        <c:axId val="347022816"/>
        <c:axId val="98149200"/>
      </c:lineChart>
      <c:catAx>
        <c:axId val="20784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147952"/>
        <c:crosses val="autoZero"/>
        <c:auto val="1"/>
        <c:lblAlgn val="ctr"/>
        <c:lblOffset val="100"/>
        <c:noMultiLvlLbl val="0"/>
      </c:catAx>
      <c:valAx>
        <c:axId val="981479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845936"/>
        <c:crosses val="autoZero"/>
        <c:crossBetween val="between"/>
      </c:valAx>
      <c:valAx>
        <c:axId val="98149200"/>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7022816"/>
        <c:crosses val="max"/>
        <c:crossBetween val="between"/>
      </c:valAx>
      <c:catAx>
        <c:axId val="347022816"/>
        <c:scaling>
          <c:orientation val="minMax"/>
        </c:scaling>
        <c:delete val="1"/>
        <c:axPos val="b"/>
        <c:numFmt formatCode="General" sourceLinked="1"/>
        <c:majorTickMark val="none"/>
        <c:minorTickMark val="none"/>
        <c:tickLblPos val="nextTo"/>
        <c:crossAx val="98149200"/>
        <c:crosses val="autoZero"/>
        <c:auto val="1"/>
        <c:lblAlgn val="ctr"/>
        <c:lblOffset val="100"/>
        <c:noMultiLvlLbl val="0"/>
      </c:catAx>
      <c:spPr>
        <a:noFill/>
        <a:ln>
          <a:noFill/>
        </a:ln>
        <a:effectLst/>
      </c:spPr>
    </c:plotArea>
    <c:legend>
      <c:legendPos val="b"/>
      <c:layout>
        <c:manualLayout>
          <c:xMode val="edge"/>
          <c:yMode val="edge"/>
          <c:x val="8.5595414040686893E-2"/>
          <c:y val="0.83119704592799826"/>
          <c:w val="0.82880917191862624"/>
          <c:h val="0.11997954410426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Table!PivotTable17</c:name>
    <c:fmtId val="0"/>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t>Country Vs Salary</a:t>
            </a:r>
          </a:p>
        </c:rich>
      </c:tx>
      <c:layout>
        <c:manualLayout>
          <c:xMode val="edge"/>
          <c:yMode val="edge"/>
          <c:x val="0.34944444444444445"/>
          <c:y val="1.749781277340332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5.0000000000000024E-2"/>
              <c:y val="3.70370370370370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4266567831180528E-2"/>
              <c:y val="9.540156830558801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52275801068055"/>
                  <c:h val="0.16751609957413899"/>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6111111111111011E-2"/>
              <c:y val="2.777777777777773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361E-2"/>
              <c:y val="-2.77777777777778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229E-2"/>
              <c:y val="-5.555555555555564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9444444444444448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93263342082242"/>
          <c:y val="0.14950641586468358"/>
          <c:w val="0.44124606299212593"/>
          <c:h val="0.73541010498687653"/>
        </c:manualLayout>
      </c:layout>
      <c:pieChart>
        <c:varyColors val="1"/>
        <c:ser>
          <c:idx val="0"/>
          <c:order val="0"/>
          <c:tx>
            <c:strRef>
              <c:f>'Pivot Table'!$B$40</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2-979F-4994-AD0B-D4F3DC5CE00F}"/>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79F-4994-AD0B-D4F3DC5CE00F}"/>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79F-4994-AD0B-D4F3DC5CE00F}"/>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6-979F-4994-AD0B-D4F3DC5CE00F}"/>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4-979F-4994-AD0B-D4F3DC5CE00F}"/>
              </c:ext>
            </c:extLst>
          </c:dPt>
          <c:dPt>
            <c:idx val="5"/>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79F-4994-AD0B-D4F3DC5CE00F}"/>
              </c:ext>
            </c:extLst>
          </c:dPt>
          <c:dLbls>
            <c:dLbl>
              <c:idx val="0"/>
              <c:layout>
                <c:manualLayout>
                  <c:x val="8.4266567831180528E-2"/>
                  <c:y val="9.540156830558801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752275801068055"/>
                      <c:h val="0.16751609957413899"/>
                    </c:manualLayout>
                  </c15:layout>
                </c:ext>
                <c:ext xmlns:c16="http://schemas.microsoft.com/office/drawing/2014/chart" uri="{C3380CC4-5D6E-409C-BE32-E72D297353CC}">
                  <c16:uniqueId val="{00000002-979F-4994-AD0B-D4F3DC5CE00F}"/>
                </c:ext>
              </c:extLst>
            </c:dLbl>
            <c:dLbl>
              <c:idx val="1"/>
              <c:layout>
                <c:manualLayout>
                  <c:x val="3.6111111111111011E-2"/>
                  <c:y val="2.777777777777773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9F-4994-AD0B-D4F3DC5CE00F}"/>
                </c:ext>
              </c:extLst>
            </c:dLbl>
            <c:dLbl>
              <c:idx val="2"/>
              <c:layout>
                <c:manualLayout>
                  <c:x val="3.3333333333333229E-2"/>
                  <c:y val="-5.555555555555564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9F-4994-AD0B-D4F3DC5CE00F}"/>
                </c:ext>
              </c:extLst>
            </c:dLbl>
            <c:dLbl>
              <c:idx val="3"/>
              <c:layout>
                <c:manualLayout>
                  <c:x val="-6.9444444444444448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9F-4994-AD0B-D4F3DC5CE00F}"/>
                </c:ext>
              </c:extLst>
            </c:dLbl>
            <c:dLbl>
              <c:idx val="4"/>
              <c:layout>
                <c:manualLayout>
                  <c:x val="-3.3333333333333361E-2"/>
                  <c:y val="-2.777777777777786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9F-4994-AD0B-D4F3DC5CE00F}"/>
                </c:ext>
              </c:extLst>
            </c:dLbl>
            <c:dLbl>
              <c:idx val="5"/>
              <c:layout>
                <c:manualLayout>
                  <c:x val="-5.0000000000000024E-2"/>
                  <c:y val="3.703703703703701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9F-4994-AD0B-D4F3DC5CE00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Table'!$A$41:$A$47</c:f>
              <c:strCache>
                <c:ptCount val="6"/>
                <c:pt idx="0">
                  <c:v>australia</c:v>
                </c:pt>
                <c:pt idx="1">
                  <c:v>germany</c:v>
                </c:pt>
                <c:pt idx="2">
                  <c:v>india</c:v>
                </c:pt>
                <c:pt idx="3">
                  <c:v>uk</c:v>
                </c:pt>
                <c:pt idx="4">
                  <c:v>unknown</c:v>
                </c:pt>
                <c:pt idx="5">
                  <c:v>usa</c:v>
                </c:pt>
              </c:strCache>
            </c:strRef>
          </c:cat>
          <c:val>
            <c:numRef>
              <c:f>'Pivot Table'!$B$41:$B$47</c:f>
              <c:numCache>
                <c:formatCode>_ * #,##0_ ;_ * \-#,##0_ ;_ * "-"??_ ;_ @_ </c:formatCode>
                <c:ptCount val="6"/>
                <c:pt idx="0">
                  <c:v>61609.84210526316</c:v>
                </c:pt>
                <c:pt idx="1">
                  <c:v>65801.217391304352</c:v>
                </c:pt>
                <c:pt idx="2">
                  <c:v>66802.75</c:v>
                </c:pt>
                <c:pt idx="3">
                  <c:v>62118</c:v>
                </c:pt>
                <c:pt idx="4">
                  <c:v>70447.387096774197</c:v>
                </c:pt>
                <c:pt idx="5">
                  <c:v>68532.25</c:v>
                </c:pt>
              </c:numCache>
            </c:numRef>
          </c:val>
          <c:extLst>
            <c:ext xmlns:c16="http://schemas.microsoft.com/office/drawing/2014/chart" uri="{C3380CC4-5D6E-409C-BE32-E72D297353CC}">
              <c16:uniqueId val="{00000000-979F-4994-AD0B-D4F3DC5CE00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Table!PivotTable20</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0"/>
              <a:t>Employee</a:t>
            </a:r>
            <a:r>
              <a:rPr lang="en-US" b="0" baseline="0"/>
              <a:t> Vs Salary</a:t>
            </a:r>
            <a:endParaRPr lang="en-US" b="0"/>
          </a:p>
        </c:rich>
      </c:tx>
      <c:layout>
        <c:manualLayout>
          <c:xMode val="edge"/>
          <c:yMode val="edge"/>
          <c:x val="0.32317344706911638"/>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19269466316712"/>
          <c:y val="0.11819444444444445"/>
          <c:w val="0.70402952755905512"/>
          <c:h val="0.68188283756197132"/>
        </c:manualLayout>
      </c:layout>
      <c:barChart>
        <c:barDir val="bar"/>
        <c:grouping val="clustered"/>
        <c:varyColors val="0"/>
        <c:ser>
          <c:idx val="0"/>
          <c:order val="0"/>
          <c:tx>
            <c:strRef>
              <c:f>'Pivot Table'!$B$50</c:f>
              <c:strCache>
                <c:ptCount val="1"/>
                <c:pt idx="0">
                  <c:v>Total</c:v>
                </c:pt>
              </c:strCache>
            </c:strRef>
          </c:tx>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Table'!$A$51:$A$59</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Table'!$B$51:$B$59</c:f>
              <c:numCache>
                <c:formatCode>_ * #,##0_ ;_ * \-#,##0_ ;_ * "-"??_ ;_ @_ </c:formatCode>
                <c:ptCount val="8"/>
                <c:pt idx="0">
                  <c:v>1277032</c:v>
                </c:pt>
                <c:pt idx="1">
                  <c:v>1450471</c:v>
                </c:pt>
                <c:pt idx="2">
                  <c:v>1569004</c:v>
                </c:pt>
                <c:pt idx="3">
                  <c:v>1472582</c:v>
                </c:pt>
                <c:pt idx="4">
                  <c:v>997236</c:v>
                </c:pt>
                <c:pt idx="5">
                  <c:v>921521</c:v>
                </c:pt>
                <c:pt idx="6">
                  <c:v>1534999</c:v>
                </c:pt>
                <c:pt idx="7">
                  <c:v>713240</c:v>
                </c:pt>
              </c:numCache>
            </c:numRef>
          </c:val>
          <c:extLst>
            <c:ext xmlns:c16="http://schemas.microsoft.com/office/drawing/2014/chart" uri="{C3380CC4-5D6E-409C-BE32-E72D297353CC}">
              <c16:uniqueId val="{00000000-3156-4FFA-B3D5-42503F1FA618}"/>
            </c:ext>
          </c:extLst>
        </c:ser>
        <c:dLbls>
          <c:dLblPos val="outEnd"/>
          <c:showLegendKey val="0"/>
          <c:showVal val="1"/>
          <c:showCatName val="0"/>
          <c:showSerName val="0"/>
          <c:showPercent val="0"/>
          <c:showBubbleSize val="0"/>
        </c:dLbls>
        <c:gapWidth val="115"/>
        <c:overlap val="-20"/>
        <c:axId val="531902400"/>
        <c:axId val="705926192"/>
      </c:barChart>
      <c:catAx>
        <c:axId val="53190240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t>Employee</a:t>
                </a:r>
              </a:p>
            </c:rich>
          </c:tx>
          <c:layout>
            <c:manualLayout>
              <c:xMode val="edge"/>
              <c:yMode val="edge"/>
              <c:x val="2.5000000000000001E-2"/>
              <c:y val="0.4018671624380285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926192"/>
        <c:crosses val="autoZero"/>
        <c:auto val="1"/>
        <c:lblAlgn val="ctr"/>
        <c:lblOffset val="100"/>
        <c:noMultiLvlLbl val="0"/>
      </c:catAx>
      <c:valAx>
        <c:axId val="705926192"/>
        <c:scaling>
          <c:orientation val="minMax"/>
          <c:min val="300000"/>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t>Salary</a:t>
                </a:r>
              </a:p>
            </c:rich>
          </c:tx>
          <c:layout>
            <c:manualLayout>
              <c:xMode val="edge"/>
              <c:yMode val="edge"/>
              <c:x val="0.46393657042869629"/>
              <c:y val="0.88432852143482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1902400"/>
        <c:crosses val="autoZero"/>
        <c:crossBetween val="between"/>
      </c:valAx>
      <c:spPr>
        <a:solidFill>
          <a:srgbClr val="E1EAC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Table!PivotTable29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0069991251094"/>
          <c:y val="0.18300925925925926"/>
          <c:w val="0.73747180829502379"/>
          <c:h val="0.52928653361471367"/>
        </c:manualLayout>
      </c:layout>
      <c:barChart>
        <c:barDir val="col"/>
        <c:grouping val="clustered"/>
        <c:varyColors val="0"/>
        <c:ser>
          <c:idx val="0"/>
          <c:order val="0"/>
          <c:tx>
            <c:strRef>
              <c:f>'Pivot Table'!$B$84</c:f>
              <c:strCache>
                <c:ptCount val="1"/>
                <c:pt idx="0">
                  <c:v>Sum of Salary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Table'!$A$85:$A$91</c:f>
              <c:strCache>
                <c:ptCount val="6"/>
                <c:pt idx="0">
                  <c:v>FINANCE</c:v>
                </c:pt>
                <c:pt idx="1">
                  <c:v>HR</c:v>
                </c:pt>
                <c:pt idx="2">
                  <c:v>IT</c:v>
                </c:pt>
                <c:pt idx="3">
                  <c:v>MARKETING</c:v>
                </c:pt>
                <c:pt idx="4">
                  <c:v>SALES</c:v>
                </c:pt>
                <c:pt idx="5">
                  <c:v>UNKNOWN</c:v>
                </c:pt>
              </c:strCache>
            </c:strRef>
          </c:cat>
          <c:val>
            <c:numRef>
              <c:f>'Pivot Table'!$B$85:$B$91</c:f>
              <c:numCache>
                <c:formatCode>_ * #,##0_ ;_ * \-#,##0_ ;_ * "-"??_ ;_ @_ </c:formatCode>
                <c:ptCount val="6"/>
                <c:pt idx="0">
                  <c:v>1443301</c:v>
                </c:pt>
                <c:pt idx="1">
                  <c:v>1628030</c:v>
                </c:pt>
                <c:pt idx="2">
                  <c:v>1653938</c:v>
                </c:pt>
                <c:pt idx="3">
                  <c:v>1846915</c:v>
                </c:pt>
                <c:pt idx="4">
                  <c:v>1766156</c:v>
                </c:pt>
                <c:pt idx="5">
                  <c:v>1597745</c:v>
                </c:pt>
              </c:numCache>
            </c:numRef>
          </c:val>
          <c:extLst>
            <c:ext xmlns:c16="http://schemas.microsoft.com/office/drawing/2014/chart" uri="{C3380CC4-5D6E-409C-BE32-E72D297353CC}">
              <c16:uniqueId val="{00000000-206D-4438-A829-6A1A0D165B6D}"/>
            </c:ext>
          </c:extLst>
        </c:ser>
        <c:dLbls>
          <c:dLblPos val="outEnd"/>
          <c:showLegendKey val="0"/>
          <c:showVal val="1"/>
          <c:showCatName val="0"/>
          <c:showSerName val="0"/>
          <c:showPercent val="0"/>
          <c:showBubbleSize val="0"/>
        </c:dLbls>
        <c:gapWidth val="269"/>
        <c:axId val="512435760"/>
        <c:axId val="705971120"/>
      </c:barChart>
      <c:lineChart>
        <c:grouping val="stacked"/>
        <c:varyColors val="0"/>
        <c:ser>
          <c:idx val="1"/>
          <c:order val="1"/>
          <c:tx>
            <c:strRef>
              <c:f>'Pivot Table'!$C$84</c:f>
              <c:strCache>
                <c:ptCount val="1"/>
                <c:pt idx="0">
                  <c:v>Sum of Joining Days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Table'!$A$85:$A$91</c:f>
              <c:strCache>
                <c:ptCount val="6"/>
                <c:pt idx="0">
                  <c:v>FINANCE</c:v>
                </c:pt>
                <c:pt idx="1">
                  <c:v>HR</c:v>
                </c:pt>
                <c:pt idx="2">
                  <c:v>IT</c:v>
                </c:pt>
                <c:pt idx="3">
                  <c:v>MARKETING</c:v>
                </c:pt>
                <c:pt idx="4">
                  <c:v>SALES</c:v>
                </c:pt>
                <c:pt idx="5">
                  <c:v>UNKNOWN</c:v>
                </c:pt>
              </c:strCache>
            </c:strRef>
          </c:cat>
          <c:val>
            <c:numRef>
              <c:f>'Pivot Table'!$C$85:$C$91</c:f>
              <c:numCache>
                <c:formatCode>_ * #,##0_ ;_ * \-#,##0_ ;_ * "-"??_ ;_ @_ </c:formatCode>
                <c:ptCount val="6"/>
                <c:pt idx="0">
                  <c:v>291</c:v>
                </c:pt>
                <c:pt idx="1">
                  <c:v>286</c:v>
                </c:pt>
                <c:pt idx="2">
                  <c:v>293</c:v>
                </c:pt>
                <c:pt idx="3">
                  <c:v>413</c:v>
                </c:pt>
                <c:pt idx="4">
                  <c:v>419</c:v>
                </c:pt>
                <c:pt idx="5">
                  <c:v>400</c:v>
                </c:pt>
              </c:numCache>
            </c:numRef>
          </c:val>
          <c:smooth val="0"/>
          <c:extLst>
            <c:ext xmlns:c16="http://schemas.microsoft.com/office/drawing/2014/chart" uri="{C3380CC4-5D6E-409C-BE32-E72D297353CC}">
              <c16:uniqueId val="{00000001-206D-4438-A829-6A1A0D165B6D}"/>
            </c:ext>
          </c:extLst>
        </c:ser>
        <c:ser>
          <c:idx val="2"/>
          <c:order val="2"/>
          <c:tx>
            <c:strRef>
              <c:f>'Pivot Table'!$D$84</c:f>
              <c:strCache>
                <c:ptCount val="1"/>
                <c:pt idx="0">
                  <c:v>Sum of Performance Rating</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Table'!$A$85:$A$91</c:f>
              <c:strCache>
                <c:ptCount val="6"/>
                <c:pt idx="0">
                  <c:v>FINANCE</c:v>
                </c:pt>
                <c:pt idx="1">
                  <c:v>HR</c:v>
                </c:pt>
                <c:pt idx="2">
                  <c:v>IT</c:v>
                </c:pt>
                <c:pt idx="3">
                  <c:v>MARKETING</c:v>
                </c:pt>
                <c:pt idx="4">
                  <c:v>SALES</c:v>
                </c:pt>
                <c:pt idx="5">
                  <c:v>UNKNOWN</c:v>
                </c:pt>
              </c:strCache>
            </c:strRef>
          </c:cat>
          <c:val>
            <c:numRef>
              <c:f>'Pivot Table'!$D$85:$D$91</c:f>
              <c:numCache>
                <c:formatCode>_ * #,##0_ ;_ * \-#,##0_ ;_ * "-"??_ ;_ @_ </c:formatCode>
                <c:ptCount val="6"/>
                <c:pt idx="0">
                  <c:v>58</c:v>
                </c:pt>
                <c:pt idx="1">
                  <c:v>66</c:v>
                </c:pt>
                <c:pt idx="2">
                  <c:v>74</c:v>
                </c:pt>
                <c:pt idx="3">
                  <c:v>97</c:v>
                </c:pt>
                <c:pt idx="4">
                  <c:v>72</c:v>
                </c:pt>
                <c:pt idx="5">
                  <c:v>67</c:v>
                </c:pt>
              </c:numCache>
            </c:numRef>
          </c:val>
          <c:smooth val="0"/>
          <c:extLst>
            <c:ext xmlns:c16="http://schemas.microsoft.com/office/drawing/2014/chart" uri="{C3380CC4-5D6E-409C-BE32-E72D297353CC}">
              <c16:uniqueId val="{00000002-206D-4438-A829-6A1A0D165B6D}"/>
            </c:ext>
          </c:extLst>
        </c:ser>
        <c:dLbls>
          <c:showLegendKey val="0"/>
          <c:showVal val="1"/>
          <c:showCatName val="0"/>
          <c:showSerName val="0"/>
          <c:showPercent val="0"/>
          <c:showBubbleSize val="0"/>
        </c:dLbls>
        <c:marker val="1"/>
        <c:smooth val="0"/>
        <c:axId val="512422960"/>
        <c:axId val="705977360"/>
      </c:lineChart>
      <c:catAx>
        <c:axId val="51242296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977360"/>
        <c:crosses val="autoZero"/>
        <c:auto val="1"/>
        <c:lblAlgn val="ctr"/>
        <c:lblOffset val="100"/>
        <c:noMultiLvlLbl val="0"/>
      </c:catAx>
      <c:valAx>
        <c:axId val="70597736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2422960"/>
        <c:crosses val="autoZero"/>
        <c:crossBetween val="between"/>
      </c:valAx>
      <c:valAx>
        <c:axId val="705971120"/>
        <c:scaling>
          <c:orientation val="minMax"/>
        </c:scaling>
        <c:delete val="0"/>
        <c:axPos val="r"/>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2435760"/>
        <c:crosses val="max"/>
        <c:crossBetween val="between"/>
      </c:valAx>
      <c:catAx>
        <c:axId val="512435760"/>
        <c:scaling>
          <c:orientation val="minMax"/>
        </c:scaling>
        <c:delete val="1"/>
        <c:axPos val="b"/>
        <c:numFmt formatCode="General" sourceLinked="1"/>
        <c:majorTickMark val="none"/>
        <c:minorTickMark val="none"/>
        <c:tickLblPos val="nextTo"/>
        <c:crossAx val="705971120"/>
        <c:crosses val="autoZero"/>
        <c:auto val="1"/>
        <c:lblAlgn val="ctr"/>
        <c:lblOffset val="100"/>
        <c:noMultiLvlLbl val="0"/>
      </c:catAx>
      <c:spPr>
        <a:noFill/>
        <a:ln>
          <a:noFill/>
        </a:ln>
        <a:effectLst/>
      </c:spPr>
    </c:plotArea>
    <c:legend>
      <c:legendPos val="b"/>
      <c:layout>
        <c:manualLayout>
          <c:xMode val="edge"/>
          <c:yMode val="edge"/>
          <c:x val="5.8333333333333334E-2"/>
          <c:y val="0.81859179060950715"/>
          <c:w val="0.68936078117000699"/>
          <c:h val="0.13229974040207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Table!PivotTable23</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Country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60000"/>
              <a:lumOff val="40000"/>
            </a:schemeClr>
          </a:soli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4838145231846"/>
          <c:y val="0.23189814814814816"/>
          <c:w val="0.83129396325459315"/>
          <c:h val="0.53114428404782732"/>
        </c:manualLayout>
      </c:layout>
      <c:line3DChart>
        <c:grouping val="standard"/>
        <c:varyColors val="0"/>
        <c:ser>
          <c:idx val="0"/>
          <c:order val="0"/>
          <c:tx>
            <c:strRef>
              <c:f>'Pivot Table'!$B$62</c:f>
              <c:strCache>
                <c:ptCount val="1"/>
                <c:pt idx="0">
                  <c:v>Total</c:v>
                </c:pt>
              </c:strCache>
            </c:strRef>
          </c:tx>
          <c:spPr>
            <a:solidFill>
              <a:schemeClr val="accent5">
                <a:lumMod val="60000"/>
                <a:lumOff val="40000"/>
              </a:schemeClr>
            </a:solidFill>
            <a:ln>
              <a:solidFill>
                <a:schemeClr val="accent5">
                  <a:lumMod val="60000"/>
                  <a:lumOff val="40000"/>
                </a:schemeClr>
              </a:solidFill>
            </a:ln>
            <a:effectLst/>
            <a:sp3d>
              <a:contourClr>
                <a:schemeClr val="accent5">
                  <a:lumMod val="60000"/>
                  <a:lumOff val="40000"/>
                </a:schemeClr>
              </a:contourClr>
            </a:sp3d>
          </c:spPr>
          <c:cat>
            <c:strRef>
              <c:f>'Pivot Table'!$A$63:$A$69</c:f>
              <c:strCache>
                <c:ptCount val="6"/>
                <c:pt idx="0">
                  <c:v>australia</c:v>
                </c:pt>
                <c:pt idx="1">
                  <c:v>germany</c:v>
                </c:pt>
                <c:pt idx="2">
                  <c:v>india</c:v>
                </c:pt>
                <c:pt idx="3">
                  <c:v>uk</c:v>
                </c:pt>
                <c:pt idx="4">
                  <c:v>unknown</c:v>
                </c:pt>
                <c:pt idx="5">
                  <c:v>usa</c:v>
                </c:pt>
              </c:strCache>
            </c:strRef>
          </c:cat>
          <c:val>
            <c:numRef>
              <c:f>'Pivot Table'!$B$63:$B$69</c:f>
              <c:numCache>
                <c:formatCode>General</c:formatCode>
                <c:ptCount val="6"/>
                <c:pt idx="0">
                  <c:v>50</c:v>
                </c:pt>
                <c:pt idx="1">
                  <c:v>69</c:v>
                </c:pt>
                <c:pt idx="2">
                  <c:v>87</c:v>
                </c:pt>
                <c:pt idx="3">
                  <c:v>75</c:v>
                </c:pt>
                <c:pt idx="4">
                  <c:v>82</c:v>
                </c:pt>
                <c:pt idx="5">
                  <c:v>71</c:v>
                </c:pt>
              </c:numCache>
            </c:numRef>
          </c:val>
          <c:smooth val="0"/>
          <c:extLst>
            <c:ext xmlns:c16="http://schemas.microsoft.com/office/drawing/2014/chart" uri="{C3380CC4-5D6E-409C-BE32-E72D297353CC}">
              <c16:uniqueId val="{00000000-F16E-44AA-9912-55B23A6CFFEB}"/>
            </c:ext>
          </c:extLst>
        </c:ser>
        <c:dLbls>
          <c:showLegendKey val="0"/>
          <c:showVal val="0"/>
          <c:showCatName val="0"/>
          <c:showSerName val="0"/>
          <c:showPercent val="0"/>
          <c:showBubbleSize val="0"/>
        </c:dLbls>
        <c:axId val="716591168"/>
        <c:axId val="705961136"/>
        <c:axId val="704353264"/>
      </c:line3DChart>
      <c:catAx>
        <c:axId val="71659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Country</a:t>
                </a:r>
              </a:p>
            </c:rich>
          </c:tx>
          <c:layout>
            <c:manualLayout>
              <c:xMode val="edge"/>
              <c:yMode val="edge"/>
              <c:x val="0.41914873140857395"/>
              <c:y val="0.774771799358413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961136"/>
        <c:crosses val="autoZero"/>
        <c:auto val="1"/>
        <c:lblAlgn val="ctr"/>
        <c:lblOffset val="100"/>
        <c:noMultiLvlLbl val="0"/>
      </c:catAx>
      <c:valAx>
        <c:axId val="70596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Rating</a:t>
                </a:r>
              </a:p>
            </c:rich>
          </c:tx>
          <c:layout>
            <c:manualLayout>
              <c:xMode val="edge"/>
              <c:yMode val="edge"/>
              <c:x val="2.1845363079615047E-2"/>
              <c:y val="0.370237314085739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6591168"/>
        <c:crosses val="autoZero"/>
        <c:crossBetween val="between"/>
      </c:valAx>
      <c:serAx>
        <c:axId val="704353264"/>
        <c:scaling>
          <c:orientation val="minMax"/>
        </c:scaling>
        <c:delete val="1"/>
        <c:axPos val="b"/>
        <c:majorTickMark val="out"/>
        <c:minorTickMark val="none"/>
        <c:tickLblPos val="nextTo"/>
        <c:crossAx val="7059611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[Employee_Details Day 19 to 21 days Challenge.xlsx]Pivot Table!PivotTable26</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r>
              <a:rPr lang="en-US"/>
              <a:t>Employee Vs Rating</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endParaRPr lang="en-US"/>
        </a:p>
      </c:txPr>
    </c:title>
    <c:autoTitleDeleted val="0"/>
    <c:pivotFmts>
      <c:pivotFmt>
        <c:idx val="0"/>
        <c:spPr>
          <a:solidFill>
            <a:schemeClr val="accent5">
              <a:lumMod val="40000"/>
              <a:lumOff val="6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5048118985126"/>
          <c:y val="0.25351851851851853"/>
          <c:w val="0.75316426071741027"/>
          <c:h val="0.47720472440944883"/>
        </c:manualLayout>
      </c:layout>
      <c:barChart>
        <c:barDir val="col"/>
        <c:grouping val="clustered"/>
        <c:varyColors val="0"/>
        <c:ser>
          <c:idx val="0"/>
          <c:order val="0"/>
          <c:tx>
            <c:strRef>
              <c:f>'Pivot Table'!$B$72</c:f>
              <c:strCache>
                <c:ptCount val="1"/>
                <c:pt idx="0">
                  <c:v>Total</c:v>
                </c:pt>
              </c:strCache>
            </c:strRef>
          </c:tx>
          <c:spPr>
            <a:solidFill>
              <a:schemeClr val="accent5">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Table'!$A$73:$A$81</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Table'!$B$73:$B$81</c:f>
              <c:numCache>
                <c:formatCode>General</c:formatCode>
                <c:ptCount val="8"/>
                <c:pt idx="0">
                  <c:v>58</c:v>
                </c:pt>
                <c:pt idx="1">
                  <c:v>61</c:v>
                </c:pt>
                <c:pt idx="2">
                  <c:v>78</c:v>
                </c:pt>
                <c:pt idx="3">
                  <c:v>68</c:v>
                </c:pt>
                <c:pt idx="4">
                  <c:v>41</c:v>
                </c:pt>
                <c:pt idx="5">
                  <c:v>33</c:v>
                </c:pt>
                <c:pt idx="6">
                  <c:v>66</c:v>
                </c:pt>
                <c:pt idx="7">
                  <c:v>29</c:v>
                </c:pt>
              </c:numCache>
            </c:numRef>
          </c:val>
          <c:extLst>
            <c:ext xmlns:c16="http://schemas.microsoft.com/office/drawing/2014/chart" uri="{C3380CC4-5D6E-409C-BE32-E72D297353CC}">
              <c16:uniqueId val="{00000000-9D20-4841-90F8-2C42CA1984F8}"/>
            </c:ext>
          </c:extLst>
        </c:ser>
        <c:dLbls>
          <c:dLblPos val="outEnd"/>
          <c:showLegendKey val="0"/>
          <c:showVal val="1"/>
          <c:showCatName val="0"/>
          <c:showSerName val="0"/>
          <c:showPercent val="0"/>
          <c:showBubbleSize val="0"/>
        </c:dLbls>
        <c:gapWidth val="80"/>
        <c:overlap val="25"/>
        <c:axId val="716593968"/>
        <c:axId val="705960304"/>
      </c:barChart>
      <c:catAx>
        <c:axId val="716593968"/>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705960304"/>
        <c:crosses val="autoZero"/>
        <c:auto val="1"/>
        <c:lblAlgn val="ctr"/>
        <c:lblOffset val="100"/>
        <c:noMultiLvlLbl val="0"/>
      </c:catAx>
      <c:valAx>
        <c:axId val="7059603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Rating</a:t>
                </a:r>
              </a:p>
            </c:rich>
          </c:tx>
          <c:layout>
            <c:manualLayout>
              <c:xMode val="edge"/>
              <c:yMode val="edge"/>
              <c:x val="2.2222222222222223E-2"/>
              <c:y val="0.4128616214639836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71659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Table!PivotTable6</c:name>
    <c:fmtId val="10"/>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solidFill>
                  <a:schemeClr val="tx1"/>
                </a:solidFill>
              </a:rPr>
              <a:t>Gender</a:t>
            </a:r>
            <a:r>
              <a:rPr lang="en-US" baseline="0">
                <a:solidFill>
                  <a:schemeClr val="tx1"/>
                </a:solidFill>
              </a:rPr>
              <a:t> Vs Sum Salary</a:t>
            </a:r>
            <a:endParaRPr lang="en-US">
              <a:solidFill>
                <a:schemeClr val="tx1"/>
              </a:solidFill>
            </a:endParaRPr>
          </a:p>
        </c:rich>
      </c:tx>
      <c:layout>
        <c:manualLayout>
          <c:xMode val="edge"/>
          <c:yMode val="edge"/>
          <c:x val="0.28615266841644793"/>
          <c:y val="2.212744240303295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833333333333334"/>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83333333333333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2499999999999989"/>
              <c:y val="2.31481481481481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687510936132982"/>
                  <c:h val="0.14807888597258673"/>
                </c:manualLayout>
              </c15:layout>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6646327688338319"/>
              <c:y val="5.25095539063364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943477606700436"/>
                  <c:h val="0.19754243822970405"/>
                </c:manualLayout>
              </c15:layout>
            </c:ext>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833333333333334"/>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2499999999999989"/>
              <c:y val="2.31481481481481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687510936132982"/>
                  <c:h val="0.14807888597258673"/>
                </c:manualLayout>
              </c15:layout>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6646327688338319"/>
              <c:y val="5.25095539063364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3943477606700436"/>
                  <c:h val="0.19754243822970405"/>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83333333333333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6499059430602336"/>
              <c:y val="-2.135496373412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3822013041570938"/>
              <c:y val="0.110443384920091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331526547850073"/>
                  <c:h val="0.18549139001444939"/>
                </c:manualLayout>
              </c15:layout>
            </c:ext>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0423486724216131"/>
              <c:y val="2.75680086490180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986913817075982"/>
                  <c:h val="0.19754237483693485"/>
                </c:manualLayout>
              </c15:layout>
            </c:ext>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4232770478760978"/>
              <c:y val="-6.0185205642482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112095363079614"/>
          <c:y val="0.21277486147564889"/>
          <c:w val="0.40047572178477692"/>
          <c:h val="0.66745953630796151"/>
        </c:manualLayout>
      </c:layout>
      <c:doughnutChart>
        <c:varyColors val="1"/>
        <c:ser>
          <c:idx val="0"/>
          <c:order val="0"/>
          <c:tx>
            <c:strRef>
              <c:f>'Pivot Table'!$B$4</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BC65-413D-BDBB-25393129CFBE}"/>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BC65-413D-BDBB-25393129CFBE}"/>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BC65-413D-BDBB-25393129CFBE}"/>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BC65-413D-BDBB-25393129CFBE}"/>
              </c:ext>
            </c:extLst>
          </c:dPt>
          <c:dLbls>
            <c:dLbl>
              <c:idx val="0"/>
              <c:layout>
                <c:manualLayout>
                  <c:x val="0.16499059430602336"/>
                  <c:y val="-2.1354963734121279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C65-413D-BDBB-25393129CFBE}"/>
                </c:ext>
              </c:extLst>
            </c:dLbl>
            <c:dLbl>
              <c:idx val="1"/>
              <c:layout>
                <c:manualLayout>
                  <c:x val="0.13822013041570938"/>
                  <c:y val="0.110443384920091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331526547850073"/>
                      <c:h val="0.18549139001444939"/>
                    </c:manualLayout>
                  </c15:layout>
                </c:ext>
                <c:ext xmlns:c16="http://schemas.microsoft.com/office/drawing/2014/chart" uri="{C3380CC4-5D6E-409C-BE32-E72D297353CC}">
                  <c16:uniqueId val="{00000003-BC65-413D-BDBB-25393129CFBE}"/>
                </c:ext>
              </c:extLst>
            </c:dLbl>
            <c:dLbl>
              <c:idx val="2"/>
              <c:layout>
                <c:manualLayout>
                  <c:x val="-0.20423486724216131"/>
                  <c:y val="2.75680086490180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986913817075982"/>
                      <c:h val="0.19754237483693485"/>
                    </c:manualLayout>
                  </c15:layout>
                </c:ext>
                <c:ext xmlns:c16="http://schemas.microsoft.com/office/drawing/2014/chart" uri="{C3380CC4-5D6E-409C-BE32-E72D297353CC}">
                  <c16:uniqueId val="{00000005-BC65-413D-BDBB-25393129CFBE}"/>
                </c:ext>
              </c:extLst>
            </c:dLbl>
            <c:dLbl>
              <c:idx val="3"/>
              <c:layout>
                <c:manualLayout>
                  <c:x val="-0.14232770478760978"/>
                  <c:y val="-6.0185205642482649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C65-413D-BDBB-25393129CF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Table'!$A$5:$A$9</c:f>
              <c:strCache>
                <c:ptCount val="4"/>
                <c:pt idx="0">
                  <c:v>Female</c:v>
                </c:pt>
                <c:pt idx="1">
                  <c:v>Male</c:v>
                </c:pt>
                <c:pt idx="2">
                  <c:v>Other</c:v>
                </c:pt>
                <c:pt idx="3">
                  <c:v>Unknown</c:v>
                </c:pt>
              </c:strCache>
            </c:strRef>
          </c:cat>
          <c:val>
            <c:numRef>
              <c:f>'Pivot Table'!$B$5:$B$9</c:f>
              <c:numCache>
                <c:formatCode>_ * #,##0_ ;_ * \-#,##0_ ;_ * "-"??_ ;_ @_ </c:formatCode>
                <c:ptCount val="4"/>
                <c:pt idx="0">
                  <c:v>2148973</c:v>
                </c:pt>
                <c:pt idx="1">
                  <c:v>2203211</c:v>
                </c:pt>
                <c:pt idx="2">
                  <c:v>2391648</c:v>
                </c:pt>
                <c:pt idx="3">
                  <c:v>3192253</c:v>
                </c:pt>
              </c:numCache>
            </c:numRef>
          </c:val>
          <c:extLst>
            <c:ext xmlns:c16="http://schemas.microsoft.com/office/drawing/2014/chart" uri="{C3380CC4-5D6E-409C-BE32-E72D297353CC}">
              <c16:uniqueId val="{00000008-BC65-413D-BDBB-25393129CF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accent3">
          <a:lumMod val="20000"/>
          <a:lumOff val="80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[Employee_Details Day 19 to 21 days Challenge.xlsx]Pivot Table!PivotTable8</c:name>
    <c:fmtId val="3"/>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t>Gender Vs Joining Days</a:t>
            </a:r>
          </a:p>
        </c:rich>
      </c:tx>
      <c:layout>
        <c:manualLayout>
          <c:xMode val="edge"/>
          <c:yMode val="edge"/>
          <c:x val="0.31559922042084826"/>
          <c:y val="1.842256430490359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pivotFmt>
      <c:pivotFmt>
        <c:idx val="2"/>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pivotFmt>
      <c:pivotFmt>
        <c:idx val="3"/>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8820002032284"/>
          <c:y val="9.6718462600743862E-2"/>
          <c:w val="0.78348401033723525"/>
          <c:h val="0.74483225312313239"/>
        </c:manualLayout>
      </c:layout>
      <c:areaChart>
        <c:grouping val="standard"/>
        <c:varyColors val="0"/>
        <c:ser>
          <c:idx val="0"/>
          <c:order val="0"/>
          <c:tx>
            <c:strRef>
              <c:f>'Pivot Table'!$B$12</c:f>
              <c:strCache>
                <c:ptCount val="1"/>
                <c:pt idx="0">
                  <c:v>Total</c:v>
                </c:pt>
              </c:strCache>
            </c:strRef>
          </c:tx>
          <c:spPr>
            <a:solidFill>
              <a:schemeClr val="accent5">
                <a:lumMod val="40000"/>
                <a:lumOff val="60000"/>
              </a:schemeClr>
            </a:solidFill>
            <a:ln w="9525" cap="flat" cmpd="sng" algn="ctr">
              <a:solidFill>
                <a:schemeClr val="accent5">
                  <a:shade val="95000"/>
                </a:schemeClr>
              </a:solidFill>
              <a:round/>
            </a:ln>
            <a:effectLst>
              <a:outerShdw blurRad="40000" dist="20000" dir="5400000" rotWithShape="0">
                <a:srgbClr val="000000">
                  <a:alpha val="38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Table'!$A$13:$A$17</c:f>
              <c:strCache>
                <c:ptCount val="4"/>
                <c:pt idx="0">
                  <c:v>Female</c:v>
                </c:pt>
                <c:pt idx="1">
                  <c:v>Male</c:v>
                </c:pt>
                <c:pt idx="2">
                  <c:v>Other</c:v>
                </c:pt>
                <c:pt idx="3">
                  <c:v>Unknown</c:v>
                </c:pt>
              </c:strCache>
            </c:strRef>
          </c:cat>
          <c:val>
            <c:numRef>
              <c:f>'Pivot Table'!$B$13:$B$17</c:f>
              <c:numCache>
                <c:formatCode>General</c:formatCode>
                <c:ptCount val="4"/>
                <c:pt idx="0">
                  <c:v>400</c:v>
                </c:pt>
                <c:pt idx="1">
                  <c:v>486</c:v>
                </c:pt>
                <c:pt idx="2">
                  <c:v>407</c:v>
                </c:pt>
                <c:pt idx="3">
                  <c:v>809</c:v>
                </c:pt>
              </c:numCache>
            </c:numRef>
          </c:val>
          <c:extLst>
            <c:ext xmlns:c16="http://schemas.microsoft.com/office/drawing/2014/chart" uri="{C3380CC4-5D6E-409C-BE32-E72D297353CC}">
              <c16:uniqueId val="{00000000-E474-4BA3-9EC7-934A3CB2D39E}"/>
            </c:ext>
          </c:extLst>
        </c:ser>
        <c:dLbls>
          <c:showLegendKey val="0"/>
          <c:showVal val="1"/>
          <c:showCatName val="0"/>
          <c:showSerName val="0"/>
          <c:showPercent val="0"/>
          <c:showBubbleSize val="0"/>
        </c:dLbls>
        <c:axId val="210955808"/>
        <c:axId val="221064560"/>
      </c:areaChart>
      <c:catAx>
        <c:axId val="21095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1064560"/>
        <c:crosses val="autoZero"/>
        <c:auto val="1"/>
        <c:lblAlgn val="ctr"/>
        <c:lblOffset val="100"/>
        <c:noMultiLvlLbl val="0"/>
      </c:catAx>
      <c:valAx>
        <c:axId val="221064560"/>
        <c:scaling>
          <c:orientation val="minMax"/>
          <c:max val="800"/>
          <c:min val="200"/>
        </c:scaling>
        <c:delete val="0"/>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Joining Days</a:t>
                </a:r>
              </a:p>
            </c:rich>
          </c:tx>
          <c:layout>
            <c:manualLayout>
              <c:xMode val="edge"/>
              <c:yMode val="edge"/>
              <c:x val="3.1005177973951508E-2"/>
              <c:y val="0.3402455423196764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955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Table!PivotTable32</c:name>
    <c:fmtId val="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1173665791776026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28403324584427"/>
              <c:y val="-8.792833187518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82655293088364E-2"/>
              <c:y val="7.8738334791484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840113735783028E-2"/>
              <c:y val="2.7812408865558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821084864391953E-3"/>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9566929133858268E-4"/>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9566929133858268E-4"/>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821084864391953E-3"/>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840113735783028E-2"/>
              <c:y val="2.7812408865558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82655293088364E-2"/>
              <c:y val="7.8738334791484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1173665791776026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28403324584427"/>
              <c:y val="-8.792833187518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9566929133858268E-4"/>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821084864391953E-3"/>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840113735783028E-2"/>
              <c:y val="2.7812408865558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182655293088364E-2"/>
              <c:y val="7.8738334791484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1173665791776026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28403324584427"/>
              <c:y val="-8.792833187518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53368328958883E-2"/>
          <c:y val="5.0925925925925923E-2"/>
          <c:w val="0.77261548556430437"/>
          <c:h val="0.65100721784776905"/>
        </c:manualLayout>
      </c:layout>
      <c:lineChart>
        <c:grouping val="stacked"/>
        <c:varyColors val="0"/>
        <c:ser>
          <c:idx val="0"/>
          <c:order val="0"/>
          <c:tx>
            <c:strRef>
              <c:f>'Pivot Table'!$B$20</c:f>
              <c:strCache>
                <c:ptCount val="1"/>
                <c:pt idx="0">
                  <c:v>Count of Employee ID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4"/>
                <c:pt idx="0">
                  <c:v>Female</c:v>
                </c:pt>
                <c:pt idx="1">
                  <c:v>Male</c:v>
                </c:pt>
                <c:pt idx="2">
                  <c:v>Other</c:v>
                </c:pt>
                <c:pt idx="3">
                  <c:v>Unknown</c:v>
                </c:pt>
              </c:strCache>
            </c:strRef>
          </c:cat>
          <c:val>
            <c:numRef>
              <c:f>'Pivot Table'!$B$21:$B$25</c:f>
              <c:numCache>
                <c:formatCode>_ * #,##0_ ;_ * \-#,##0_ ;_ * "-"??_ ;_ @_ </c:formatCode>
                <c:ptCount val="4"/>
                <c:pt idx="0">
                  <c:v>34</c:v>
                </c:pt>
                <c:pt idx="1">
                  <c:v>32</c:v>
                </c:pt>
                <c:pt idx="2">
                  <c:v>35</c:v>
                </c:pt>
                <c:pt idx="3">
                  <c:v>49</c:v>
                </c:pt>
              </c:numCache>
            </c:numRef>
          </c:val>
          <c:smooth val="0"/>
          <c:extLst>
            <c:ext xmlns:c16="http://schemas.microsoft.com/office/drawing/2014/chart" uri="{C3380CC4-5D6E-409C-BE32-E72D297353CC}">
              <c16:uniqueId val="{00000000-52B6-41A7-BCBF-B432BEDD74CD}"/>
            </c:ext>
          </c:extLst>
        </c:ser>
        <c:ser>
          <c:idx val="1"/>
          <c:order val="1"/>
          <c:tx>
            <c:strRef>
              <c:f>'Pivot Table'!$C$20</c:f>
              <c:strCache>
                <c:ptCount val="1"/>
                <c:pt idx="0">
                  <c:v>Average of Joining Days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52B6-41A7-BCBF-B432BEDD74CD}"/>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52B6-41A7-BCBF-B432BEDD74CD}"/>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52B6-41A7-BCBF-B432BEDD74CD}"/>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52B6-41A7-BCBF-B432BEDD74CD}"/>
              </c:ext>
            </c:extLst>
          </c:dPt>
          <c:dLbls>
            <c:dLbl>
              <c:idx val="0"/>
              <c:layout>
                <c:manualLayout>
                  <c:x val="3.9566929133858268E-4"/>
                  <c:y val="6.4849445902595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B6-41A7-BCBF-B432BEDD74CD}"/>
                </c:ext>
              </c:extLst>
            </c:dLbl>
            <c:dLbl>
              <c:idx val="1"/>
              <c:layout>
                <c:manualLayout>
                  <c:x val="-2.3821084864391953E-3"/>
                  <c:y val="6.4849445902595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B6-41A7-BCBF-B432BEDD74CD}"/>
                </c:ext>
              </c:extLst>
            </c:dLbl>
            <c:dLbl>
              <c:idx val="2"/>
              <c:layout>
                <c:manualLayout>
                  <c:x val="1.9840113735783028E-2"/>
                  <c:y val="2.78124088655584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B6-41A7-BCBF-B432BEDD74CD}"/>
                </c:ext>
              </c:extLst>
            </c:dLbl>
            <c:dLbl>
              <c:idx val="3"/>
              <c:layout>
                <c:manualLayout>
                  <c:x val="-2.182655293088364E-2"/>
                  <c:y val="7.8738334791484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B6-41A7-BCBF-B432BEDD74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4"/>
                <c:pt idx="0">
                  <c:v>Female</c:v>
                </c:pt>
                <c:pt idx="1">
                  <c:v>Male</c:v>
                </c:pt>
                <c:pt idx="2">
                  <c:v>Other</c:v>
                </c:pt>
                <c:pt idx="3">
                  <c:v>Unknown</c:v>
                </c:pt>
              </c:strCache>
            </c:strRef>
          </c:cat>
          <c:val>
            <c:numRef>
              <c:f>'Pivot Table'!$C$21:$C$25</c:f>
              <c:numCache>
                <c:formatCode>_ * #,##0_ ;_ * \-#,##0_ ;_ * "-"??_ ;_ @_ </c:formatCode>
                <c:ptCount val="4"/>
                <c:pt idx="0">
                  <c:v>11.764705882352942</c:v>
                </c:pt>
                <c:pt idx="1">
                  <c:v>15.1875</c:v>
                </c:pt>
                <c:pt idx="2">
                  <c:v>11.628571428571428</c:v>
                </c:pt>
                <c:pt idx="3">
                  <c:v>16.510204081632654</c:v>
                </c:pt>
              </c:numCache>
            </c:numRef>
          </c:val>
          <c:smooth val="0"/>
          <c:extLst>
            <c:ext xmlns:c16="http://schemas.microsoft.com/office/drawing/2014/chart" uri="{C3380CC4-5D6E-409C-BE32-E72D297353CC}">
              <c16:uniqueId val="{00000009-52B6-41A7-BCBF-B432BEDD74CD}"/>
            </c:ext>
          </c:extLst>
        </c:ser>
        <c:dLbls>
          <c:dLblPos val="t"/>
          <c:showLegendKey val="0"/>
          <c:showVal val="1"/>
          <c:showCatName val="0"/>
          <c:showSerName val="0"/>
          <c:showPercent val="0"/>
          <c:showBubbleSize val="0"/>
        </c:dLbls>
        <c:marker val="1"/>
        <c:smooth val="0"/>
        <c:axId val="210972608"/>
        <c:axId val="98144208"/>
      </c:lineChart>
      <c:lineChart>
        <c:grouping val="stacked"/>
        <c:varyColors val="0"/>
        <c:ser>
          <c:idx val="2"/>
          <c:order val="2"/>
          <c:tx>
            <c:strRef>
              <c:f>'Pivot Table'!$D$20</c:f>
              <c:strCache>
                <c:ptCount val="1"/>
                <c:pt idx="0">
                  <c:v>Average of Salary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52B6-41A7-BCBF-B432BEDD74CD}"/>
              </c:ext>
            </c:extLst>
          </c:dPt>
          <c:dPt>
            <c:idx val="3"/>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52B6-41A7-BCBF-B432BEDD74CD}"/>
              </c:ext>
            </c:extLst>
          </c:dPt>
          <c:dLbls>
            <c:dLbl>
              <c:idx val="2"/>
              <c:layout>
                <c:manualLayout>
                  <c:x val="-8.1173665791776026E-2"/>
                  <c:y val="-7.8669072615923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2B6-41A7-BCBF-B432BEDD74CD}"/>
                </c:ext>
              </c:extLst>
            </c:dLbl>
            <c:dLbl>
              <c:idx val="3"/>
              <c:layout>
                <c:manualLayout>
                  <c:x val="-0.1228403324584427"/>
                  <c:y val="-8.79283318751822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2B6-41A7-BCBF-B432BEDD74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4"/>
                <c:pt idx="0">
                  <c:v>Female</c:v>
                </c:pt>
                <c:pt idx="1">
                  <c:v>Male</c:v>
                </c:pt>
                <c:pt idx="2">
                  <c:v>Other</c:v>
                </c:pt>
                <c:pt idx="3">
                  <c:v>Unknown</c:v>
                </c:pt>
              </c:strCache>
            </c:strRef>
          </c:cat>
          <c:val>
            <c:numRef>
              <c:f>'Pivot Table'!$D$21:$D$25</c:f>
              <c:numCache>
                <c:formatCode>_ * #,##0_ ;_ * \-#,##0_ ;_ * "-"??_ ;_ @_ </c:formatCode>
                <c:ptCount val="4"/>
                <c:pt idx="0">
                  <c:v>63205.088235294119</c:v>
                </c:pt>
                <c:pt idx="1">
                  <c:v>68850.34375</c:v>
                </c:pt>
                <c:pt idx="2">
                  <c:v>68332.800000000003</c:v>
                </c:pt>
                <c:pt idx="3">
                  <c:v>65148.020408163262</c:v>
                </c:pt>
              </c:numCache>
            </c:numRef>
          </c:val>
          <c:smooth val="0"/>
          <c:extLst>
            <c:ext xmlns:c16="http://schemas.microsoft.com/office/drawing/2014/chart" uri="{C3380CC4-5D6E-409C-BE32-E72D297353CC}">
              <c16:uniqueId val="{0000000E-52B6-41A7-BCBF-B432BEDD74CD}"/>
            </c:ext>
          </c:extLst>
        </c:ser>
        <c:dLbls>
          <c:dLblPos val="t"/>
          <c:showLegendKey val="0"/>
          <c:showVal val="1"/>
          <c:showCatName val="0"/>
          <c:showSerName val="0"/>
          <c:showPercent val="0"/>
          <c:showBubbleSize val="0"/>
        </c:dLbls>
        <c:marker val="1"/>
        <c:smooth val="0"/>
        <c:axId val="6035104"/>
        <c:axId val="98132976"/>
      </c:lineChart>
      <c:catAx>
        <c:axId val="210972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144208"/>
        <c:crosses val="autoZero"/>
        <c:auto val="1"/>
        <c:lblAlgn val="ctr"/>
        <c:lblOffset val="100"/>
        <c:noMultiLvlLbl val="0"/>
      </c:catAx>
      <c:valAx>
        <c:axId val="9814420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972608"/>
        <c:crosses val="autoZero"/>
        <c:crossBetween val="between"/>
      </c:valAx>
      <c:valAx>
        <c:axId val="98132976"/>
        <c:scaling>
          <c:orientation val="minMax"/>
        </c:scaling>
        <c:delete val="0"/>
        <c:axPos val="r"/>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35104"/>
        <c:crosses val="max"/>
        <c:crossBetween val="between"/>
      </c:valAx>
      <c:catAx>
        <c:axId val="6035104"/>
        <c:scaling>
          <c:orientation val="minMax"/>
        </c:scaling>
        <c:delete val="1"/>
        <c:axPos val="b"/>
        <c:numFmt formatCode="General" sourceLinked="1"/>
        <c:majorTickMark val="none"/>
        <c:minorTickMark val="none"/>
        <c:tickLblPos val="nextTo"/>
        <c:crossAx val="98132976"/>
        <c:crosses val="autoZero"/>
        <c:auto val="1"/>
        <c:lblAlgn val="ctr"/>
        <c:lblOffset val="100"/>
        <c:noMultiLvlLbl val="0"/>
      </c:catAx>
      <c:spPr>
        <a:noFill/>
        <a:ln>
          <a:noFill/>
        </a:ln>
        <a:effectLst/>
      </c:spPr>
    </c:plotArea>
    <c:legend>
      <c:legendPos val="b"/>
      <c:layout>
        <c:manualLayout>
          <c:xMode val="edge"/>
          <c:yMode val="edge"/>
          <c:x val="5.5017915366751893E-2"/>
          <c:y val="0.8340927164221742"/>
          <c:w val="0.83100374922787013"/>
          <c:h val="0.16193516703351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Table!PivotTable14</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0" i="0" u="none" strike="noStrike" baseline="0">
                <a:effectLst/>
              </a:rPr>
              <a:t>E.Count Vs </a:t>
            </a:r>
            <a:r>
              <a:rPr lang="en-IN" b="0"/>
              <a:t>JD</a:t>
            </a:r>
            <a:r>
              <a:rPr lang="en-IN" b="0" baseline="0"/>
              <a:t> Vs Salary</a:t>
            </a:r>
            <a:endParaRPr lang="en-IN"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360591568215704E-3"/>
              <c:y val="5.00718212515699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360591568215704E-3"/>
              <c:y val="5.00718212515699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360591568215704E-3"/>
              <c:y val="5.00718212515699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9013084669277"/>
          <c:y val="0.15102196752626551"/>
          <c:w val="0.82339897798008965"/>
          <c:h val="0.5916046597327197"/>
        </c:manualLayout>
      </c:layout>
      <c:barChart>
        <c:barDir val="col"/>
        <c:grouping val="clustered"/>
        <c:varyColors val="0"/>
        <c:ser>
          <c:idx val="0"/>
          <c:order val="0"/>
          <c:tx>
            <c:strRef>
              <c:f>'Pivot Table'!$B$28</c:f>
              <c:strCache>
                <c:ptCount val="1"/>
                <c:pt idx="0">
                  <c:v>Sum of Joining Days</c:v>
                </c:pt>
              </c:strCache>
            </c:strRef>
          </c:tx>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7"/>
            <c:invertIfNegative val="0"/>
            <c:bubble3D val="0"/>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5E4-462D-9B2A-5AB08C4FFE09}"/>
              </c:ext>
            </c:extLst>
          </c:dPt>
          <c:dLbls>
            <c:dLbl>
              <c:idx val="7"/>
              <c:layout>
                <c:manualLayout>
                  <c:x val="-7.0360591568215704E-3"/>
                  <c:y val="5.00718212515699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E4-462D-9B2A-5AB08C4FFE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Table'!$B$29:$B$37</c:f>
              <c:numCache>
                <c:formatCode>_ * #,##0_ ;_ * \-#,##0_ ;_ * "-"??_ ;_ @_ </c:formatCode>
                <c:ptCount val="8"/>
                <c:pt idx="0">
                  <c:v>260</c:v>
                </c:pt>
                <c:pt idx="1">
                  <c:v>373</c:v>
                </c:pt>
                <c:pt idx="2">
                  <c:v>299</c:v>
                </c:pt>
                <c:pt idx="3">
                  <c:v>345</c:v>
                </c:pt>
                <c:pt idx="4">
                  <c:v>218</c:v>
                </c:pt>
                <c:pt idx="5">
                  <c:v>239</c:v>
                </c:pt>
                <c:pt idx="6">
                  <c:v>278</c:v>
                </c:pt>
                <c:pt idx="7">
                  <c:v>90</c:v>
                </c:pt>
              </c:numCache>
            </c:numRef>
          </c:val>
          <c:extLst>
            <c:ext xmlns:c16="http://schemas.microsoft.com/office/drawing/2014/chart" uri="{C3380CC4-5D6E-409C-BE32-E72D297353CC}">
              <c16:uniqueId val="{00000002-15E4-462D-9B2A-5AB08C4FFE09}"/>
            </c:ext>
          </c:extLst>
        </c:ser>
        <c:dLbls>
          <c:showLegendKey val="0"/>
          <c:showVal val="1"/>
          <c:showCatName val="0"/>
          <c:showSerName val="0"/>
          <c:showPercent val="0"/>
          <c:showBubbleSize val="0"/>
        </c:dLbls>
        <c:gapWidth val="269"/>
        <c:axId val="347022816"/>
        <c:axId val="98149200"/>
      </c:barChart>
      <c:lineChart>
        <c:grouping val="standard"/>
        <c:varyColors val="0"/>
        <c:ser>
          <c:idx val="1"/>
          <c:order val="1"/>
          <c:tx>
            <c:strRef>
              <c:f>'Pivot Table'!$C$28</c:f>
              <c:strCache>
                <c:ptCount val="1"/>
                <c:pt idx="0">
                  <c:v>Sum of Salary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Table'!$C$29:$C$37</c:f>
              <c:numCache>
                <c:formatCode>_ * #,##0_ ;_ * \-#,##0_ ;_ * "-"??_ ;_ @_ </c:formatCode>
                <c:ptCount val="8"/>
                <c:pt idx="0">
                  <c:v>1277032</c:v>
                </c:pt>
                <c:pt idx="1">
                  <c:v>1450471</c:v>
                </c:pt>
                <c:pt idx="2">
                  <c:v>1569004</c:v>
                </c:pt>
                <c:pt idx="3">
                  <c:v>1472582</c:v>
                </c:pt>
                <c:pt idx="4">
                  <c:v>997236</c:v>
                </c:pt>
                <c:pt idx="5">
                  <c:v>921521</c:v>
                </c:pt>
                <c:pt idx="6">
                  <c:v>1534999</c:v>
                </c:pt>
                <c:pt idx="7">
                  <c:v>713240</c:v>
                </c:pt>
              </c:numCache>
            </c:numRef>
          </c:val>
          <c:smooth val="0"/>
          <c:extLst>
            <c:ext xmlns:c16="http://schemas.microsoft.com/office/drawing/2014/chart" uri="{C3380CC4-5D6E-409C-BE32-E72D297353CC}">
              <c16:uniqueId val="{00000003-15E4-462D-9B2A-5AB08C4FFE09}"/>
            </c:ext>
          </c:extLst>
        </c:ser>
        <c:dLbls>
          <c:showLegendKey val="0"/>
          <c:showVal val="1"/>
          <c:showCatName val="0"/>
          <c:showSerName val="0"/>
          <c:showPercent val="0"/>
          <c:showBubbleSize val="0"/>
        </c:dLbls>
        <c:marker val="1"/>
        <c:smooth val="0"/>
        <c:axId val="207845936"/>
        <c:axId val="98147952"/>
      </c:lineChart>
      <c:lineChart>
        <c:grouping val="standard"/>
        <c:varyColors val="0"/>
        <c:ser>
          <c:idx val="2"/>
          <c:order val="2"/>
          <c:tx>
            <c:strRef>
              <c:f>'Pivot Table'!$D$28</c:f>
              <c:strCache>
                <c:ptCount val="1"/>
                <c:pt idx="0">
                  <c:v>Sum of Performance Rating</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Table'!$D$29:$D$37</c:f>
              <c:numCache>
                <c:formatCode>_ * #,##0_ ;_ * \-#,##0_ ;_ * "-"??_ ;_ @_ </c:formatCode>
                <c:ptCount val="8"/>
                <c:pt idx="0">
                  <c:v>58</c:v>
                </c:pt>
                <c:pt idx="1">
                  <c:v>61</c:v>
                </c:pt>
                <c:pt idx="2">
                  <c:v>78</c:v>
                </c:pt>
                <c:pt idx="3">
                  <c:v>68</c:v>
                </c:pt>
                <c:pt idx="4">
                  <c:v>41</c:v>
                </c:pt>
                <c:pt idx="5">
                  <c:v>33</c:v>
                </c:pt>
                <c:pt idx="6">
                  <c:v>66</c:v>
                </c:pt>
                <c:pt idx="7">
                  <c:v>29</c:v>
                </c:pt>
              </c:numCache>
            </c:numRef>
          </c:val>
          <c:smooth val="0"/>
          <c:extLst>
            <c:ext xmlns:c16="http://schemas.microsoft.com/office/drawing/2014/chart" uri="{C3380CC4-5D6E-409C-BE32-E72D297353CC}">
              <c16:uniqueId val="{00000004-15E4-462D-9B2A-5AB08C4FFE09}"/>
            </c:ext>
          </c:extLst>
        </c:ser>
        <c:dLbls>
          <c:showLegendKey val="0"/>
          <c:showVal val="1"/>
          <c:showCatName val="0"/>
          <c:showSerName val="0"/>
          <c:showPercent val="0"/>
          <c:showBubbleSize val="0"/>
        </c:dLbls>
        <c:marker val="1"/>
        <c:smooth val="0"/>
        <c:axId val="347022816"/>
        <c:axId val="98149200"/>
      </c:lineChart>
      <c:catAx>
        <c:axId val="20784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147952"/>
        <c:crosses val="autoZero"/>
        <c:auto val="1"/>
        <c:lblAlgn val="ctr"/>
        <c:lblOffset val="100"/>
        <c:noMultiLvlLbl val="0"/>
      </c:catAx>
      <c:valAx>
        <c:axId val="981479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845936"/>
        <c:crosses val="autoZero"/>
        <c:crossBetween val="between"/>
      </c:valAx>
      <c:valAx>
        <c:axId val="98149200"/>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7022816"/>
        <c:crosses val="max"/>
        <c:crossBetween val="between"/>
      </c:valAx>
      <c:catAx>
        <c:axId val="347022816"/>
        <c:scaling>
          <c:orientation val="minMax"/>
        </c:scaling>
        <c:delete val="1"/>
        <c:axPos val="b"/>
        <c:numFmt formatCode="General" sourceLinked="1"/>
        <c:majorTickMark val="none"/>
        <c:minorTickMark val="none"/>
        <c:tickLblPos val="nextTo"/>
        <c:crossAx val="98149200"/>
        <c:crosses val="autoZero"/>
        <c:auto val="1"/>
        <c:lblAlgn val="ctr"/>
        <c:lblOffset val="100"/>
        <c:noMultiLvlLbl val="0"/>
      </c:catAx>
      <c:spPr>
        <a:noFill/>
        <a:ln>
          <a:noFill/>
        </a:ln>
        <a:effectLst/>
      </c:spPr>
    </c:plotArea>
    <c:legend>
      <c:legendPos val="b"/>
      <c:layout>
        <c:manualLayout>
          <c:xMode val="edge"/>
          <c:yMode val="edge"/>
          <c:x val="8.5595414040686893E-2"/>
          <c:y val="0.83119704592799826"/>
          <c:w val="0.82880917191862624"/>
          <c:h val="0.11997954410426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Table!PivotTable17</c:name>
    <c:fmtId val="5"/>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t>Country Vs Salary</a:t>
            </a:r>
          </a:p>
        </c:rich>
      </c:tx>
      <c:layout>
        <c:manualLayout>
          <c:xMode val="edge"/>
          <c:yMode val="edge"/>
          <c:x val="0.34944444444444445"/>
          <c:y val="1.749781277340332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5.0000000000000024E-2"/>
              <c:y val="3.70370370370370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4266567831180528E-2"/>
              <c:y val="9.540156830558801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52275801068055"/>
                  <c:h val="0.16751609957413899"/>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6111111111111011E-2"/>
              <c:y val="2.777777777777773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361E-2"/>
              <c:y val="-2.77777777777778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229E-2"/>
              <c:y val="-5.555555555555564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9444444444444448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4266567831180528E-2"/>
              <c:y val="9.540156830558801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52275801068055"/>
                  <c:h val="0.16751609957413899"/>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6111111111111011E-2"/>
              <c:y val="2.777777777777773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229E-2"/>
              <c:y val="-5.555555555555564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9444444444444448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361E-2"/>
              <c:y val="-2.77777777777778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5.0000000000000024E-2"/>
              <c:y val="3.70370370370370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4266567831180528E-2"/>
              <c:y val="9.540156830558801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52275801068055"/>
                  <c:h val="0.16751609957413899"/>
                </c:manualLayout>
              </c15:layout>
            </c:ext>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6111111111111011E-2"/>
              <c:y val="2.777777777777773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229E-2"/>
              <c:y val="-5.555555555555564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9444444444444448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3.3333333333333361E-2"/>
              <c:y val="-2.77777777777778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5.0000000000000024E-2"/>
              <c:y val="3.70370370370370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93263342082242"/>
          <c:y val="0.14950641586468358"/>
          <c:w val="0.44124606299212593"/>
          <c:h val="0.73541010498687653"/>
        </c:manualLayout>
      </c:layout>
      <c:pieChart>
        <c:varyColors val="1"/>
        <c:ser>
          <c:idx val="0"/>
          <c:order val="0"/>
          <c:tx>
            <c:strRef>
              <c:f>'Pivot Table'!$B$40</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E1FF-4E5A-B1E3-5B35496D41B6}"/>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E1FF-4E5A-B1E3-5B35496D41B6}"/>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E1FF-4E5A-B1E3-5B35496D41B6}"/>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E1FF-4E5A-B1E3-5B35496D41B6}"/>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E1FF-4E5A-B1E3-5B35496D41B6}"/>
              </c:ext>
            </c:extLst>
          </c:dPt>
          <c:dPt>
            <c:idx val="5"/>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E1FF-4E5A-B1E3-5B35496D41B6}"/>
              </c:ext>
            </c:extLst>
          </c:dPt>
          <c:dLbls>
            <c:dLbl>
              <c:idx val="0"/>
              <c:layout>
                <c:manualLayout>
                  <c:x val="8.4266567831180528E-2"/>
                  <c:y val="9.540156830558801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752275801068055"/>
                      <c:h val="0.16751609957413899"/>
                    </c:manualLayout>
                  </c15:layout>
                </c:ext>
                <c:ext xmlns:c16="http://schemas.microsoft.com/office/drawing/2014/chart" uri="{C3380CC4-5D6E-409C-BE32-E72D297353CC}">
                  <c16:uniqueId val="{00000001-E1FF-4E5A-B1E3-5B35496D41B6}"/>
                </c:ext>
              </c:extLst>
            </c:dLbl>
            <c:dLbl>
              <c:idx val="1"/>
              <c:layout>
                <c:manualLayout>
                  <c:x val="3.6111111111111011E-2"/>
                  <c:y val="2.777777777777773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FF-4E5A-B1E3-5B35496D41B6}"/>
                </c:ext>
              </c:extLst>
            </c:dLbl>
            <c:dLbl>
              <c:idx val="2"/>
              <c:layout>
                <c:manualLayout>
                  <c:x val="3.3333333333333229E-2"/>
                  <c:y val="-5.555555555555564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FF-4E5A-B1E3-5B35496D41B6}"/>
                </c:ext>
              </c:extLst>
            </c:dLbl>
            <c:dLbl>
              <c:idx val="3"/>
              <c:layout>
                <c:manualLayout>
                  <c:x val="-6.9444444444444448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FF-4E5A-B1E3-5B35496D41B6}"/>
                </c:ext>
              </c:extLst>
            </c:dLbl>
            <c:dLbl>
              <c:idx val="4"/>
              <c:layout>
                <c:manualLayout>
                  <c:x val="-3.3333333333333361E-2"/>
                  <c:y val="-2.777777777777786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1FF-4E5A-B1E3-5B35496D41B6}"/>
                </c:ext>
              </c:extLst>
            </c:dLbl>
            <c:dLbl>
              <c:idx val="5"/>
              <c:layout>
                <c:manualLayout>
                  <c:x val="-5.0000000000000024E-2"/>
                  <c:y val="3.703703703703701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1FF-4E5A-B1E3-5B35496D41B6}"/>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Table'!$A$41:$A$47</c:f>
              <c:strCache>
                <c:ptCount val="6"/>
                <c:pt idx="0">
                  <c:v>australia</c:v>
                </c:pt>
                <c:pt idx="1">
                  <c:v>germany</c:v>
                </c:pt>
                <c:pt idx="2">
                  <c:v>india</c:v>
                </c:pt>
                <c:pt idx="3">
                  <c:v>uk</c:v>
                </c:pt>
                <c:pt idx="4">
                  <c:v>unknown</c:v>
                </c:pt>
                <c:pt idx="5">
                  <c:v>usa</c:v>
                </c:pt>
              </c:strCache>
            </c:strRef>
          </c:cat>
          <c:val>
            <c:numRef>
              <c:f>'Pivot Table'!$B$41:$B$47</c:f>
              <c:numCache>
                <c:formatCode>_ * #,##0_ ;_ * \-#,##0_ ;_ * "-"??_ ;_ @_ </c:formatCode>
                <c:ptCount val="6"/>
                <c:pt idx="0">
                  <c:v>61609.84210526316</c:v>
                </c:pt>
                <c:pt idx="1">
                  <c:v>65801.217391304352</c:v>
                </c:pt>
                <c:pt idx="2">
                  <c:v>66802.75</c:v>
                </c:pt>
                <c:pt idx="3">
                  <c:v>62118</c:v>
                </c:pt>
                <c:pt idx="4">
                  <c:v>70447.387096774197</c:v>
                </c:pt>
                <c:pt idx="5">
                  <c:v>68532.25</c:v>
                </c:pt>
              </c:numCache>
            </c:numRef>
          </c:val>
          <c:extLst>
            <c:ext xmlns:c16="http://schemas.microsoft.com/office/drawing/2014/chart" uri="{C3380CC4-5D6E-409C-BE32-E72D297353CC}">
              <c16:uniqueId val="{0000000C-E1FF-4E5A-B1E3-5B35496D41B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25" r="0.25" t="0.75" header="0.3" footer="0.3"/>
    <c:pageSetup paperSize="8" orientation="landscape"/>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Table!PivotTable20</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0"/>
              <a:t>Employee</a:t>
            </a:r>
            <a:r>
              <a:rPr lang="en-US" b="0" baseline="0"/>
              <a:t> Vs Salary</a:t>
            </a:r>
            <a:endParaRPr lang="en-US" b="0"/>
          </a:p>
        </c:rich>
      </c:tx>
      <c:layout>
        <c:manualLayout>
          <c:xMode val="edge"/>
          <c:yMode val="edge"/>
          <c:x val="0.32317344706911638"/>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19269466316712"/>
          <c:y val="0.11819444444444445"/>
          <c:w val="0.70402952755905512"/>
          <c:h val="0.68188283756197132"/>
        </c:manualLayout>
      </c:layout>
      <c:barChart>
        <c:barDir val="bar"/>
        <c:grouping val="clustered"/>
        <c:varyColors val="0"/>
        <c:ser>
          <c:idx val="0"/>
          <c:order val="0"/>
          <c:tx>
            <c:strRef>
              <c:f>'Pivot Table'!$B$50</c:f>
              <c:strCache>
                <c:ptCount val="1"/>
                <c:pt idx="0">
                  <c:v>Total</c:v>
                </c:pt>
              </c:strCache>
            </c:strRef>
          </c:tx>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Table'!$A$51:$A$59</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Table'!$B$51:$B$59</c:f>
              <c:numCache>
                <c:formatCode>_ * #,##0_ ;_ * \-#,##0_ ;_ * "-"??_ ;_ @_ </c:formatCode>
                <c:ptCount val="8"/>
                <c:pt idx="0">
                  <c:v>1277032</c:v>
                </c:pt>
                <c:pt idx="1">
                  <c:v>1450471</c:v>
                </c:pt>
                <c:pt idx="2">
                  <c:v>1569004</c:v>
                </c:pt>
                <c:pt idx="3">
                  <c:v>1472582</c:v>
                </c:pt>
                <c:pt idx="4">
                  <c:v>997236</c:v>
                </c:pt>
                <c:pt idx="5">
                  <c:v>921521</c:v>
                </c:pt>
                <c:pt idx="6">
                  <c:v>1534999</c:v>
                </c:pt>
                <c:pt idx="7">
                  <c:v>713240</c:v>
                </c:pt>
              </c:numCache>
            </c:numRef>
          </c:val>
          <c:extLst>
            <c:ext xmlns:c16="http://schemas.microsoft.com/office/drawing/2014/chart" uri="{C3380CC4-5D6E-409C-BE32-E72D297353CC}">
              <c16:uniqueId val="{00000000-1770-4AA7-9525-C7ADA4A12D1B}"/>
            </c:ext>
          </c:extLst>
        </c:ser>
        <c:dLbls>
          <c:dLblPos val="outEnd"/>
          <c:showLegendKey val="0"/>
          <c:showVal val="1"/>
          <c:showCatName val="0"/>
          <c:showSerName val="0"/>
          <c:showPercent val="0"/>
          <c:showBubbleSize val="0"/>
        </c:dLbls>
        <c:gapWidth val="115"/>
        <c:overlap val="-20"/>
        <c:axId val="531902400"/>
        <c:axId val="705926192"/>
      </c:barChart>
      <c:catAx>
        <c:axId val="53190240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t>Employee</a:t>
                </a:r>
              </a:p>
            </c:rich>
          </c:tx>
          <c:layout>
            <c:manualLayout>
              <c:xMode val="edge"/>
              <c:yMode val="edge"/>
              <c:x val="2.5000000000000001E-2"/>
              <c:y val="0.4018671624380285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926192"/>
        <c:crosses val="autoZero"/>
        <c:auto val="1"/>
        <c:lblAlgn val="ctr"/>
        <c:lblOffset val="100"/>
        <c:noMultiLvlLbl val="0"/>
      </c:catAx>
      <c:valAx>
        <c:axId val="705926192"/>
        <c:scaling>
          <c:orientation val="minMax"/>
          <c:min val="300000"/>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t>Salary</a:t>
                </a:r>
              </a:p>
            </c:rich>
          </c:tx>
          <c:layout>
            <c:manualLayout>
              <c:xMode val="edge"/>
              <c:yMode val="edge"/>
              <c:x val="0.46393657042869629"/>
              <c:y val="0.88432852143482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1902400"/>
        <c:crosses val="autoZero"/>
        <c:crossBetween val="between"/>
      </c:valAx>
      <c:spPr>
        <a:solidFill>
          <a:srgbClr val="E1EAC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Table!PivotTable29</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0069991251094"/>
          <c:y val="0.18300925925925926"/>
          <c:w val="0.73747180829502379"/>
          <c:h val="0.52928653361471367"/>
        </c:manualLayout>
      </c:layout>
      <c:barChart>
        <c:barDir val="col"/>
        <c:grouping val="clustered"/>
        <c:varyColors val="0"/>
        <c:ser>
          <c:idx val="0"/>
          <c:order val="0"/>
          <c:tx>
            <c:strRef>
              <c:f>'Pivot Table'!$B$84</c:f>
              <c:strCache>
                <c:ptCount val="1"/>
                <c:pt idx="0">
                  <c:v>Sum of Salary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Table'!$A$85:$A$91</c:f>
              <c:strCache>
                <c:ptCount val="6"/>
                <c:pt idx="0">
                  <c:v>FINANCE</c:v>
                </c:pt>
                <c:pt idx="1">
                  <c:v>HR</c:v>
                </c:pt>
                <c:pt idx="2">
                  <c:v>IT</c:v>
                </c:pt>
                <c:pt idx="3">
                  <c:v>MARKETING</c:v>
                </c:pt>
                <c:pt idx="4">
                  <c:v>SALES</c:v>
                </c:pt>
                <c:pt idx="5">
                  <c:v>UNKNOWN</c:v>
                </c:pt>
              </c:strCache>
            </c:strRef>
          </c:cat>
          <c:val>
            <c:numRef>
              <c:f>'Pivot Table'!$B$85:$B$91</c:f>
              <c:numCache>
                <c:formatCode>_ * #,##0_ ;_ * \-#,##0_ ;_ * "-"??_ ;_ @_ </c:formatCode>
                <c:ptCount val="6"/>
                <c:pt idx="0">
                  <c:v>1443301</c:v>
                </c:pt>
                <c:pt idx="1">
                  <c:v>1628030</c:v>
                </c:pt>
                <c:pt idx="2">
                  <c:v>1653938</c:v>
                </c:pt>
                <c:pt idx="3">
                  <c:v>1846915</c:v>
                </c:pt>
                <c:pt idx="4">
                  <c:v>1766156</c:v>
                </c:pt>
                <c:pt idx="5">
                  <c:v>1597745</c:v>
                </c:pt>
              </c:numCache>
            </c:numRef>
          </c:val>
          <c:extLst>
            <c:ext xmlns:c16="http://schemas.microsoft.com/office/drawing/2014/chart" uri="{C3380CC4-5D6E-409C-BE32-E72D297353CC}">
              <c16:uniqueId val="{00000000-ED8A-4398-B6A4-A72B44ED5326}"/>
            </c:ext>
          </c:extLst>
        </c:ser>
        <c:dLbls>
          <c:dLblPos val="outEnd"/>
          <c:showLegendKey val="0"/>
          <c:showVal val="1"/>
          <c:showCatName val="0"/>
          <c:showSerName val="0"/>
          <c:showPercent val="0"/>
          <c:showBubbleSize val="0"/>
        </c:dLbls>
        <c:gapWidth val="269"/>
        <c:axId val="512435760"/>
        <c:axId val="705971120"/>
      </c:barChart>
      <c:lineChart>
        <c:grouping val="stacked"/>
        <c:varyColors val="0"/>
        <c:ser>
          <c:idx val="1"/>
          <c:order val="1"/>
          <c:tx>
            <c:strRef>
              <c:f>'Pivot Table'!$C$84</c:f>
              <c:strCache>
                <c:ptCount val="1"/>
                <c:pt idx="0">
                  <c:v>Sum of Joining Days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Table'!$A$85:$A$91</c:f>
              <c:strCache>
                <c:ptCount val="6"/>
                <c:pt idx="0">
                  <c:v>FINANCE</c:v>
                </c:pt>
                <c:pt idx="1">
                  <c:v>HR</c:v>
                </c:pt>
                <c:pt idx="2">
                  <c:v>IT</c:v>
                </c:pt>
                <c:pt idx="3">
                  <c:v>MARKETING</c:v>
                </c:pt>
                <c:pt idx="4">
                  <c:v>SALES</c:v>
                </c:pt>
                <c:pt idx="5">
                  <c:v>UNKNOWN</c:v>
                </c:pt>
              </c:strCache>
            </c:strRef>
          </c:cat>
          <c:val>
            <c:numRef>
              <c:f>'Pivot Table'!$C$85:$C$91</c:f>
              <c:numCache>
                <c:formatCode>_ * #,##0_ ;_ * \-#,##0_ ;_ * "-"??_ ;_ @_ </c:formatCode>
                <c:ptCount val="6"/>
                <c:pt idx="0">
                  <c:v>291</c:v>
                </c:pt>
                <c:pt idx="1">
                  <c:v>286</c:v>
                </c:pt>
                <c:pt idx="2">
                  <c:v>293</c:v>
                </c:pt>
                <c:pt idx="3">
                  <c:v>413</c:v>
                </c:pt>
                <c:pt idx="4">
                  <c:v>419</c:v>
                </c:pt>
                <c:pt idx="5">
                  <c:v>400</c:v>
                </c:pt>
              </c:numCache>
            </c:numRef>
          </c:val>
          <c:smooth val="0"/>
          <c:extLst>
            <c:ext xmlns:c16="http://schemas.microsoft.com/office/drawing/2014/chart" uri="{C3380CC4-5D6E-409C-BE32-E72D297353CC}">
              <c16:uniqueId val="{00000001-ED8A-4398-B6A4-A72B44ED5326}"/>
            </c:ext>
          </c:extLst>
        </c:ser>
        <c:ser>
          <c:idx val="2"/>
          <c:order val="2"/>
          <c:tx>
            <c:strRef>
              <c:f>'Pivot Table'!$D$84</c:f>
              <c:strCache>
                <c:ptCount val="1"/>
                <c:pt idx="0">
                  <c:v>Sum of Performance Rating</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Table'!$A$85:$A$91</c:f>
              <c:strCache>
                <c:ptCount val="6"/>
                <c:pt idx="0">
                  <c:v>FINANCE</c:v>
                </c:pt>
                <c:pt idx="1">
                  <c:v>HR</c:v>
                </c:pt>
                <c:pt idx="2">
                  <c:v>IT</c:v>
                </c:pt>
                <c:pt idx="3">
                  <c:v>MARKETING</c:v>
                </c:pt>
                <c:pt idx="4">
                  <c:v>SALES</c:v>
                </c:pt>
                <c:pt idx="5">
                  <c:v>UNKNOWN</c:v>
                </c:pt>
              </c:strCache>
            </c:strRef>
          </c:cat>
          <c:val>
            <c:numRef>
              <c:f>'Pivot Table'!$D$85:$D$91</c:f>
              <c:numCache>
                <c:formatCode>_ * #,##0_ ;_ * \-#,##0_ ;_ * "-"??_ ;_ @_ </c:formatCode>
                <c:ptCount val="6"/>
                <c:pt idx="0">
                  <c:v>58</c:v>
                </c:pt>
                <c:pt idx="1">
                  <c:v>66</c:v>
                </c:pt>
                <c:pt idx="2">
                  <c:v>74</c:v>
                </c:pt>
                <c:pt idx="3">
                  <c:v>97</c:v>
                </c:pt>
                <c:pt idx="4">
                  <c:v>72</c:v>
                </c:pt>
                <c:pt idx="5">
                  <c:v>67</c:v>
                </c:pt>
              </c:numCache>
            </c:numRef>
          </c:val>
          <c:smooth val="0"/>
          <c:extLst>
            <c:ext xmlns:c16="http://schemas.microsoft.com/office/drawing/2014/chart" uri="{C3380CC4-5D6E-409C-BE32-E72D297353CC}">
              <c16:uniqueId val="{00000002-ED8A-4398-B6A4-A72B44ED5326}"/>
            </c:ext>
          </c:extLst>
        </c:ser>
        <c:dLbls>
          <c:showLegendKey val="0"/>
          <c:showVal val="1"/>
          <c:showCatName val="0"/>
          <c:showSerName val="0"/>
          <c:showPercent val="0"/>
          <c:showBubbleSize val="0"/>
        </c:dLbls>
        <c:marker val="1"/>
        <c:smooth val="0"/>
        <c:axId val="512422960"/>
        <c:axId val="705977360"/>
      </c:lineChart>
      <c:catAx>
        <c:axId val="51242296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977360"/>
        <c:crosses val="autoZero"/>
        <c:auto val="1"/>
        <c:lblAlgn val="ctr"/>
        <c:lblOffset val="100"/>
        <c:noMultiLvlLbl val="0"/>
      </c:catAx>
      <c:valAx>
        <c:axId val="70597736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2422960"/>
        <c:crosses val="autoZero"/>
        <c:crossBetween val="between"/>
      </c:valAx>
      <c:valAx>
        <c:axId val="705971120"/>
        <c:scaling>
          <c:orientation val="minMax"/>
        </c:scaling>
        <c:delete val="0"/>
        <c:axPos val="r"/>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2435760"/>
        <c:crosses val="max"/>
        <c:crossBetween val="between"/>
      </c:valAx>
      <c:catAx>
        <c:axId val="512435760"/>
        <c:scaling>
          <c:orientation val="minMax"/>
        </c:scaling>
        <c:delete val="1"/>
        <c:axPos val="b"/>
        <c:numFmt formatCode="General" sourceLinked="1"/>
        <c:majorTickMark val="none"/>
        <c:minorTickMark val="none"/>
        <c:tickLblPos val="nextTo"/>
        <c:crossAx val="705971120"/>
        <c:crosses val="autoZero"/>
        <c:auto val="1"/>
        <c:lblAlgn val="ctr"/>
        <c:lblOffset val="100"/>
        <c:noMultiLvlLbl val="0"/>
      </c:catAx>
      <c:spPr>
        <a:noFill/>
        <a:ln>
          <a:noFill/>
        </a:ln>
        <a:effectLst/>
      </c:spPr>
    </c:plotArea>
    <c:legend>
      <c:legendPos val="b"/>
      <c:layout>
        <c:manualLayout>
          <c:xMode val="edge"/>
          <c:yMode val="edge"/>
          <c:x val="5.8333333333333334E-2"/>
          <c:y val="0.81859179060950715"/>
          <c:w val="0.68936078117000699"/>
          <c:h val="0.13229974040207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 19 to 21 days Challenge.xlsx]Pivot Table!PivotTable23</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Country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60000"/>
              <a:lumOff val="40000"/>
            </a:schemeClr>
          </a:soli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4838145231846"/>
          <c:y val="0.23189814814814816"/>
          <c:w val="0.83129396325459315"/>
          <c:h val="0.53114428404782732"/>
        </c:manualLayout>
      </c:layout>
      <c:line3DChart>
        <c:grouping val="standard"/>
        <c:varyColors val="0"/>
        <c:ser>
          <c:idx val="0"/>
          <c:order val="0"/>
          <c:tx>
            <c:strRef>
              <c:f>'Pivot Table'!$B$62</c:f>
              <c:strCache>
                <c:ptCount val="1"/>
                <c:pt idx="0">
                  <c:v>Total</c:v>
                </c:pt>
              </c:strCache>
            </c:strRef>
          </c:tx>
          <c:spPr>
            <a:solidFill>
              <a:schemeClr val="accent5">
                <a:lumMod val="60000"/>
                <a:lumOff val="40000"/>
              </a:schemeClr>
            </a:solidFill>
            <a:ln>
              <a:solidFill>
                <a:schemeClr val="accent5">
                  <a:lumMod val="60000"/>
                  <a:lumOff val="40000"/>
                </a:schemeClr>
              </a:solidFill>
            </a:ln>
            <a:effectLst/>
            <a:sp3d>
              <a:contourClr>
                <a:schemeClr val="accent5">
                  <a:lumMod val="60000"/>
                  <a:lumOff val="40000"/>
                </a:schemeClr>
              </a:contourClr>
            </a:sp3d>
          </c:spPr>
          <c:cat>
            <c:strRef>
              <c:f>'Pivot Table'!$A$63:$A$69</c:f>
              <c:strCache>
                <c:ptCount val="6"/>
                <c:pt idx="0">
                  <c:v>australia</c:v>
                </c:pt>
                <c:pt idx="1">
                  <c:v>germany</c:v>
                </c:pt>
                <c:pt idx="2">
                  <c:v>india</c:v>
                </c:pt>
                <c:pt idx="3">
                  <c:v>uk</c:v>
                </c:pt>
                <c:pt idx="4">
                  <c:v>unknown</c:v>
                </c:pt>
                <c:pt idx="5">
                  <c:v>usa</c:v>
                </c:pt>
              </c:strCache>
            </c:strRef>
          </c:cat>
          <c:val>
            <c:numRef>
              <c:f>'Pivot Table'!$B$63:$B$69</c:f>
              <c:numCache>
                <c:formatCode>General</c:formatCode>
                <c:ptCount val="6"/>
                <c:pt idx="0">
                  <c:v>50</c:v>
                </c:pt>
                <c:pt idx="1">
                  <c:v>69</c:v>
                </c:pt>
                <c:pt idx="2">
                  <c:v>87</c:v>
                </c:pt>
                <c:pt idx="3">
                  <c:v>75</c:v>
                </c:pt>
                <c:pt idx="4">
                  <c:v>82</c:v>
                </c:pt>
                <c:pt idx="5">
                  <c:v>71</c:v>
                </c:pt>
              </c:numCache>
            </c:numRef>
          </c:val>
          <c:smooth val="0"/>
          <c:extLst>
            <c:ext xmlns:c16="http://schemas.microsoft.com/office/drawing/2014/chart" uri="{C3380CC4-5D6E-409C-BE32-E72D297353CC}">
              <c16:uniqueId val="{00000000-98BB-4DBE-BA90-7A62A04DA71F}"/>
            </c:ext>
          </c:extLst>
        </c:ser>
        <c:dLbls>
          <c:showLegendKey val="0"/>
          <c:showVal val="0"/>
          <c:showCatName val="0"/>
          <c:showSerName val="0"/>
          <c:showPercent val="0"/>
          <c:showBubbleSize val="0"/>
        </c:dLbls>
        <c:axId val="716591168"/>
        <c:axId val="705961136"/>
        <c:axId val="704353264"/>
      </c:line3DChart>
      <c:catAx>
        <c:axId val="71659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Country</a:t>
                </a:r>
              </a:p>
            </c:rich>
          </c:tx>
          <c:layout>
            <c:manualLayout>
              <c:xMode val="edge"/>
              <c:yMode val="edge"/>
              <c:x val="0.41914873140857395"/>
              <c:y val="0.774771799358413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961136"/>
        <c:crosses val="autoZero"/>
        <c:auto val="1"/>
        <c:lblAlgn val="ctr"/>
        <c:lblOffset val="100"/>
        <c:noMultiLvlLbl val="0"/>
      </c:catAx>
      <c:valAx>
        <c:axId val="70596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Rating</a:t>
                </a:r>
              </a:p>
            </c:rich>
          </c:tx>
          <c:layout>
            <c:manualLayout>
              <c:xMode val="edge"/>
              <c:yMode val="edge"/>
              <c:x val="2.1845363079615047E-2"/>
              <c:y val="0.370237314085739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6591168"/>
        <c:crosses val="autoZero"/>
        <c:crossBetween val="between"/>
      </c:valAx>
      <c:serAx>
        <c:axId val="704353264"/>
        <c:scaling>
          <c:orientation val="minMax"/>
        </c:scaling>
        <c:delete val="1"/>
        <c:axPos val="b"/>
        <c:majorTickMark val="out"/>
        <c:minorTickMark val="none"/>
        <c:tickLblPos val="nextTo"/>
        <c:crossAx val="7059611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[Employee_Details Day 19 to 21 days Challenge.xlsx]Pivot Table!PivotTable26</c:name>
    <c:fmtId val="6"/>
  </c:pivotSource>
  <c:chart>
    <c:title>
      <c:tx>
        <c:rich>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r>
              <a:rPr lang="en-US"/>
              <a:t>Employee Vs Rating</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endParaRPr lang="en-US"/>
        </a:p>
      </c:txPr>
    </c:title>
    <c:autoTitleDeleted val="0"/>
    <c:pivotFmts>
      <c:pivotFmt>
        <c:idx val="0"/>
        <c:spPr>
          <a:solidFill>
            <a:schemeClr val="accent5">
              <a:lumMod val="40000"/>
              <a:lumOff val="6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5048118985126"/>
          <c:y val="0.25351851851851853"/>
          <c:w val="0.75316426071741027"/>
          <c:h val="0.47720472440944883"/>
        </c:manualLayout>
      </c:layout>
      <c:barChart>
        <c:barDir val="col"/>
        <c:grouping val="clustered"/>
        <c:varyColors val="0"/>
        <c:ser>
          <c:idx val="0"/>
          <c:order val="0"/>
          <c:tx>
            <c:strRef>
              <c:f>'Pivot Table'!$B$72</c:f>
              <c:strCache>
                <c:ptCount val="1"/>
                <c:pt idx="0">
                  <c:v>Total</c:v>
                </c:pt>
              </c:strCache>
            </c:strRef>
          </c:tx>
          <c:spPr>
            <a:solidFill>
              <a:schemeClr val="accent5">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Table'!$A$73:$A$81</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 Table'!$B$73:$B$81</c:f>
              <c:numCache>
                <c:formatCode>General</c:formatCode>
                <c:ptCount val="8"/>
                <c:pt idx="0">
                  <c:v>58</c:v>
                </c:pt>
                <c:pt idx="1">
                  <c:v>61</c:v>
                </c:pt>
                <c:pt idx="2">
                  <c:v>78</c:v>
                </c:pt>
                <c:pt idx="3">
                  <c:v>68</c:v>
                </c:pt>
                <c:pt idx="4">
                  <c:v>41</c:v>
                </c:pt>
                <c:pt idx="5">
                  <c:v>33</c:v>
                </c:pt>
                <c:pt idx="6">
                  <c:v>66</c:v>
                </c:pt>
                <c:pt idx="7">
                  <c:v>29</c:v>
                </c:pt>
              </c:numCache>
            </c:numRef>
          </c:val>
          <c:extLst>
            <c:ext xmlns:c16="http://schemas.microsoft.com/office/drawing/2014/chart" uri="{C3380CC4-5D6E-409C-BE32-E72D297353CC}">
              <c16:uniqueId val="{00000000-4933-46CF-95A6-F26E34B00975}"/>
            </c:ext>
          </c:extLst>
        </c:ser>
        <c:dLbls>
          <c:dLblPos val="outEnd"/>
          <c:showLegendKey val="0"/>
          <c:showVal val="1"/>
          <c:showCatName val="0"/>
          <c:showSerName val="0"/>
          <c:showPercent val="0"/>
          <c:showBubbleSize val="0"/>
        </c:dLbls>
        <c:gapWidth val="80"/>
        <c:overlap val="25"/>
        <c:axId val="716593968"/>
        <c:axId val="705960304"/>
      </c:barChart>
      <c:catAx>
        <c:axId val="716593968"/>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705960304"/>
        <c:crosses val="autoZero"/>
        <c:auto val="1"/>
        <c:lblAlgn val="ctr"/>
        <c:lblOffset val="100"/>
        <c:noMultiLvlLbl val="0"/>
      </c:catAx>
      <c:valAx>
        <c:axId val="7059603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Rating</a:t>
                </a:r>
              </a:p>
            </c:rich>
          </c:tx>
          <c:layout>
            <c:manualLayout>
              <c:xMode val="edge"/>
              <c:yMode val="edge"/>
              <c:x val="2.2222222222222223E-2"/>
              <c:y val="0.4128616214639836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71659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EAC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142876</xdr:colOff>
      <xdr:row>157</xdr:row>
      <xdr:rowOff>9525</xdr:rowOff>
    </xdr:from>
    <xdr:to>
      <xdr:col>2</xdr:col>
      <xdr:colOff>1616076</xdr:colOff>
      <xdr:row>172</xdr:row>
      <xdr:rowOff>111862</xdr:rowOff>
    </xdr:to>
    <xdr:pic>
      <xdr:nvPicPr>
        <xdr:cNvPr id="2" name="Picture 1">
          <a:extLst>
            <a:ext uri="{FF2B5EF4-FFF2-40B4-BE49-F238E27FC236}">
              <a16:creationId xmlns:a16="http://schemas.microsoft.com/office/drawing/2014/main" id="{81E72860-4B18-5D27-C586-431066BB21FA}"/>
            </a:ext>
          </a:extLst>
        </xdr:cNvPr>
        <xdr:cNvPicPr>
          <a:picLocks noChangeAspect="1"/>
        </xdr:cNvPicPr>
      </xdr:nvPicPr>
      <xdr:blipFill>
        <a:blip xmlns:r="http://schemas.openxmlformats.org/officeDocument/2006/relationships" r:embed="rId1"/>
        <a:stretch>
          <a:fillRect/>
        </a:stretch>
      </xdr:blipFill>
      <xdr:spPr>
        <a:xfrm>
          <a:off x="1228726" y="29365575"/>
          <a:ext cx="2835275" cy="2816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381001</xdr:colOff>
      <xdr:row>1</xdr:row>
      <xdr:rowOff>0</xdr:rowOff>
    </xdr:from>
    <xdr:to>
      <xdr:col>9</xdr:col>
      <xdr:colOff>1082676</xdr:colOff>
      <xdr:row>13</xdr:row>
      <xdr:rowOff>130175</xdr:rowOff>
    </xdr:to>
    <xdr:graphicFrame macro="">
      <xdr:nvGraphicFramePr>
        <xdr:cNvPr id="2" name="Chart 1">
          <a:extLst>
            <a:ext uri="{FF2B5EF4-FFF2-40B4-BE49-F238E27FC236}">
              <a16:creationId xmlns:a16="http://schemas.microsoft.com/office/drawing/2014/main" id="{96657E27-6E1A-4D15-8545-C673E97C0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68261</xdr:colOff>
      <xdr:row>0</xdr:row>
      <xdr:rowOff>160338</xdr:rowOff>
    </xdr:from>
    <xdr:to>
      <xdr:col>14</xdr:col>
      <xdr:colOff>847725</xdr:colOff>
      <xdr:row>13</xdr:row>
      <xdr:rowOff>139700</xdr:rowOff>
    </xdr:to>
    <xdr:graphicFrame macro="">
      <xdr:nvGraphicFramePr>
        <xdr:cNvPr id="3" name="Chart 2">
          <a:extLst>
            <a:ext uri="{FF2B5EF4-FFF2-40B4-BE49-F238E27FC236}">
              <a16:creationId xmlns:a16="http://schemas.microsoft.com/office/drawing/2014/main" id="{56BDA480-F16D-4A8F-A9CE-40F22F5A5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355600</xdr:colOff>
      <xdr:row>15</xdr:row>
      <xdr:rowOff>101601</xdr:rowOff>
    </xdr:from>
    <xdr:to>
      <xdr:col>10</xdr:col>
      <xdr:colOff>66676</xdr:colOff>
      <xdr:row>29</xdr:row>
      <xdr:rowOff>66675</xdr:rowOff>
    </xdr:to>
    <xdr:graphicFrame macro="">
      <xdr:nvGraphicFramePr>
        <xdr:cNvPr id="4" name="Chart 3">
          <a:extLst>
            <a:ext uri="{FF2B5EF4-FFF2-40B4-BE49-F238E27FC236}">
              <a16:creationId xmlns:a16="http://schemas.microsoft.com/office/drawing/2014/main" id="{C6C2C5C0-10F1-4F9C-B02E-7B5C47E86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227012</xdr:colOff>
      <xdr:row>15</xdr:row>
      <xdr:rowOff>57151</xdr:rowOff>
    </xdr:from>
    <xdr:to>
      <xdr:col>14</xdr:col>
      <xdr:colOff>828675</xdr:colOff>
      <xdr:row>29</xdr:row>
      <xdr:rowOff>76200</xdr:rowOff>
    </xdr:to>
    <xdr:graphicFrame macro="">
      <xdr:nvGraphicFramePr>
        <xdr:cNvPr id="6" name="Chart 5">
          <a:extLst>
            <a:ext uri="{FF2B5EF4-FFF2-40B4-BE49-F238E27FC236}">
              <a16:creationId xmlns:a16="http://schemas.microsoft.com/office/drawing/2014/main" id="{C001C816-1588-4C48-8B6E-1782E8F88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658812</xdr:colOff>
      <xdr:row>33</xdr:row>
      <xdr:rowOff>169862</xdr:rowOff>
    </xdr:from>
    <xdr:to>
      <xdr:col>10</xdr:col>
      <xdr:colOff>6350</xdr:colOff>
      <xdr:row>47</xdr:row>
      <xdr:rowOff>85725</xdr:rowOff>
    </xdr:to>
    <xdr:graphicFrame macro="">
      <xdr:nvGraphicFramePr>
        <xdr:cNvPr id="7" name="Chart 6">
          <a:extLst>
            <a:ext uri="{FF2B5EF4-FFF2-40B4-BE49-F238E27FC236}">
              <a16:creationId xmlns:a16="http://schemas.microsoft.com/office/drawing/2014/main" id="{F48409FF-56B5-4E64-B381-F9672890E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179388</xdr:colOff>
      <xdr:row>33</xdr:row>
      <xdr:rowOff>179387</xdr:rowOff>
    </xdr:from>
    <xdr:to>
      <xdr:col>14</xdr:col>
      <xdr:colOff>638175</xdr:colOff>
      <xdr:row>47</xdr:row>
      <xdr:rowOff>82550</xdr:rowOff>
    </xdr:to>
    <xdr:graphicFrame macro="">
      <xdr:nvGraphicFramePr>
        <xdr:cNvPr id="8" name="Chart 7">
          <a:extLst>
            <a:ext uri="{FF2B5EF4-FFF2-40B4-BE49-F238E27FC236}">
              <a16:creationId xmlns:a16="http://schemas.microsoft.com/office/drawing/2014/main" id="{881667F3-96EE-433C-B68A-387CE611B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396875</xdr:colOff>
      <xdr:row>65</xdr:row>
      <xdr:rowOff>15877</xdr:rowOff>
    </xdr:from>
    <xdr:to>
      <xdr:col>11</xdr:col>
      <xdr:colOff>482600</xdr:colOff>
      <xdr:row>80</xdr:row>
      <xdr:rowOff>47626</xdr:rowOff>
    </xdr:to>
    <xdr:graphicFrame macro="">
      <xdr:nvGraphicFramePr>
        <xdr:cNvPr id="9" name="Chart 8">
          <a:extLst>
            <a:ext uri="{FF2B5EF4-FFF2-40B4-BE49-F238E27FC236}">
              <a16:creationId xmlns:a16="http://schemas.microsoft.com/office/drawing/2014/main" id="{2010FB4B-AB42-4AC7-B6F4-ABD8989A5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484187</xdr:colOff>
      <xdr:row>49</xdr:row>
      <xdr:rowOff>169862</xdr:rowOff>
    </xdr:from>
    <xdr:to>
      <xdr:col>10</xdr:col>
      <xdr:colOff>28575</xdr:colOff>
      <xdr:row>63</xdr:row>
      <xdr:rowOff>114299</xdr:rowOff>
    </xdr:to>
    <xdr:graphicFrame macro="">
      <xdr:nvGraphicFramePr>
        <xdr:cNvPr id="10" name="Chart 9">
          <a:extLst>
            <a:ext uri="{FF2B5EF4-FFF2-40B4-BE49-F238E27FC236}">
              <a16:creationId xmlns:a16="http://schemas.microsoft.com/office/drawing/2014/main" id="{CE86D998-BFFB-4E2F-BA52-3A89E1439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198438</xdr:colOff>
      <xdr:row>50</xdr:row>
      <xdr:rowOff>11112</xdr:rowOff>
    </xdr:from>
    <xdr:to>
      <xdr:col>14</xdr:col>
      <xdr:colOff>781050</xdr:colOff>
      <xdr:row>64</xdr:row>
      <xdr:rowOff>57150</xdr:rowOff>
    </xdr:to>
    <xdr:graphicFrame macro="">
      <xdr:nvGraphicFramePr>
        <xdr:cNvPr id="12" name="Chart 11">
          <a:extLst>
            <a:ext uri="{FF2B5EF4-FFF2-40B4-BE49-F238E27FC236}">
              <a16:creationId xmlns:a16="http://schemas.microsoft.com/office/drawing/2014/main" id="{F7C1865F-0699-4469-9B15-A9C6499A1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2</xdr:row>
      <xdr:rowOff>161925</xdr:rowOff>
    </xdr:from>
    <xdr:to>
      <xdr:col>11</xdr:col>
      <xdr:colOff>19050</xdr:colOff>
      <xdr:row>14</xdr:row>
      <xdr:rowOff>53976</xdr:rowOff>
    </xdr:to>
    <xdr:graphicFrame macro="">
      <xdr:nvGraphicFramePr>
        <xdr:cNvPr id="2" name="Chart 1">
          <a:extLst>
            <a:ext uri="{FF2B5EF4-FFF2-40B4-BE49-F238E27FC236}">
              <a16:creationId xmlns:a16="http://schemas.microsoft.com/office/drawing/2014/main" id="{063E559D-EE79-40C4-955E-79B683EB2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447675</xdr:colOff>
      <xdr:row>2</xdr:row>
      <xdr:rowOff>161925</xdr:rowOff>
    </xdr:from>
    <xdr:to>
      <xdr:col>29</xdr:col>
      <xdr:colOff>254000</xdr:colOff>
      <xdr:row>14</xdr:row>
      <xdr:rowOff>38100</xdr:rowOff>
    </xdr:to>
    <xdr:graphicFrame macro="">
      <xdr:nvGraphicFramePr>
        <xdr:cNvPr id="3" name="Chart 2">
          <a:extLst>
            <a:ext uri="{FF2B5EF4-FFF2-40B4-BE49-F238E27FC236}">
              <a16:creationId xmlns:a16="http://schemas.microsoft.com/office/drawing/2014/main" id="{FF593FF1-F418-4BD6-A365-3E0307C28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555623</xdr:colOff>
      <xdr:row>14</xdr:row>
      <xdr:rowOff>69849</xdr:rowOff>
    </xdr:from>
    <xdr:to>
      <xdr:col>11</xdr:col>
      <xdr:colOff>9524</xdr:colOff>
      <xdr:row>27</xdr:row>
      <xdr:rowOff>19050</xdr:rowOff>
    </xdr:to>
    <xdr:graphicFrame macro="">
      <xdr:nvGraphicFramePr>
        <xdr:cNvPr id="4" name="Chart 3">
          <a:extLst>
            <a:ext uri="{FF2B5EF4-FFF2-40B4-BE49-F238E27FC236}">
              <a16:creationId xmlns:a16="http://schemas.microsoft.com/office/drawing/2014/main" id="{067EB48D-D332-46A3-9BF3-A38636C00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458787</xdr:colOff>
      <xdr:row>14</xdr:row>
      <xdr:rowOff>49214</xdr:rowOff>
    </xdr:from>
    <xdr:to>
      <xdr:col>30</xdr:col>
      <xdr:colOff>9525</xdr:colOff>
      <xdr:row>26</xdr:row>
      <xdr:rowOff>171450</xdr:rowOff>
    </xdr:to>
    <xdr:graphicFrame macro="">
      <xdr:nvGraphicFramePr>
        <xdr:cNvPr id="5" name="Chart 4">
          <a:extLst>
            <a:ext uri="{FF2B5EF4-FFF2-40B4-BE49-F238E27FC236}">
              <a16:creationId xmlns:a16="http://schemas.microsoft.com/office/drawing/2014/main" id="{B48CEAFC-8CF5-44D8-B0A9-72DF95BD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449262</xdr:colOff>
      <xdr:row>27</xdr:row>
      <xdr:rowOff>3174</xdr:rowOff>
    </xdr:from>
    <xdr:to>
      <xdr:col>30</xdr:col>
      <xdr:colOff>19050</xdr:colOff>
      <xdr:row>39</xdr:row>
      <xdr:rowOff>0</xdr:rowOff>
    </xdr:to>
    <xdr:graphicFrame macro="">
      <xdr:nvGraphicFramePr>
        <xdr:cNvPr id="6" name="Chart 5">
          <a:extLst>
            <a:ext uri="{FF2B5EF4-FFF2-40B4-BE49-F238E27FC236}">
              <a16:creationId xmlns:a16="http://schemas.microsoft.com/office/drawing/2014/main" id="{4FFC160D-0158-45E2-916B-3EC508AF7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573088</xdr:colOff>
      <xdr:row>26</xdr:row>
      <xdr:rowOff>165098</xdr:rowOff>
    </xdr:from>
    <xdr:to>
      <xdr:col>11</xdr:col>
      <xdr:colOff>19050</xdr:colOff>
      <xdr:row>39</xdr:row>
      <xdr:rowOff>0</xdr:rowOff>
    </xdr:to>
    <xdr:graphicFrame macro="">
      <xdr:nvGraphicFramePr>
        <xdr:cNvPr id="7" name="Chart 6">
          <a:extLst>
            <a:ext uri="{FF2B5EF4-FFF2-40B4-BE49-F238E27FC236}">
              <a16:creationId xmlns:a16="http://schemas.microsoft.com/office/drawing/2014/main" id="{1DF10C07-CCB4-479E-9D7C-E8E1B9470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9524</xdr:colOff>
      <xdr:row>14</xdr:row>
      <xdr:rowOff>55563</xdr:rowOff>
    </xdr:from>
    <xdr:to>
      <xdr:col>20</xdr:col>
      <xdr:colOff>457199</xdr:colOff>
      <xdr:row>26</xdr:row>
      <xdr:rowOff>171450</xdr:rowOff>
    </xdr:to>
    <xdr:graphicFrame macro="">
      <xdr:nvGraphicFramePr>
        <xdr:cNvPr id="8" name="Chart 7">
          <a:extLst>
            <a:ext uri="{FF2B5EF4-FFF2-40B4-BE49-F238E27FC236}">
              <a16:creationId xmlns:a16="http://schemas.microsoft.com/office/drawing/2014/main" id="{4A3E41DC-7624-4BD8-BA86-F8CEF07B4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608011</xdr:colOff>
      <xdr:row>2</xdr:row>
      <xdr:rowOff>171451</xdr:rowOff>
    </xdr:from>
    <xdr:to>
      <xdr:col>20</xdr:col>
      <xdr:colOff>457200</xdr:colOff>
      <xdr:row>14</xdr:row>
      <xdr:rowOff>41275</xdr:rowOff>
    </xdr:to>
    <xdr:graphicFrame macro="">
      <xdr:nvGraphicFramePr>
        <xdr:cNvPr id="9" name="Chart 8">
          <a:extLst>
            <a:ext uri="{FF2B5EF4-FFF2-40B4-BE49-F238E27FC236}">
              <a16:creationId xmlns:a16="http://schemas.microsoft.com/office/drawing/2014/main" id="{47D60689-1708-40E3-892B-7E559EC98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609599</xdr:colOff>
      <xdr:row>27</xdr:row>
      <xdr:rowOff>3174</xdr:rowOff>
    </xdr:from>
    <xdr:to>
      <xdr:col>20</xdr:col>
      <xdr:colOff>466725</xdr:colOff>
      <xdr:row>39</xdr:row>
      <xdr:rowOff>6350</xdr:rowOff>
    </xdr:to>
    <xdr:graphicFrame macro="">
      <xdr:nvGraphicFramePr>
        <xdr:cNvPr id="10" name="Chart 9">
          <a:extLst>
            <a:ext uri="{FF2B5EF4-FFF2-40B4-BE49-F238E27FC236}">
              <a16:creationId xmlns:a16="http://schemas.microsoft.com/office/drawing/2014/main" id="{734C58CF-36FD-4B19-A453-07F38048B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xdr:row>
      <xdr:rowOff>168276</xdr:rowOff>
    </xdr:from>
    <xdr:to>
      <xdr:col>2</xdr:col>
      <xdr:colOff>552450</xdr:colOff>
      <xdr:row>12</xdr:row>
      <xdr:rowOff>120651</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810B23AC-EF0E-8BC0-5AF7-CA120DBE31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530226"/>
              <a:ext cx="1771650" cy="176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142876</xdr:rowOff>
    </xdr:from>
    <xdr:to>
      <xdr:col>2</xdr:col>
      <xdr:colOff>552450</xdr:colOff>
      <xdr:row>25</xdr:row>
      <xdr:rowOff>142875</xdr:rowOff>
    </xdr:to>
    <mc:AlternateContent xmlns:mc="http://schemas.openxmlformats.org/markup-compatibility/2006">
      <mc:Choice xmlns:a14="http://schemas.microsoft.com/office/drawing/2010/main" Requires="a14">
        <xdr:graphicFrame macro="">
          <xdr:nvGraphicFramePr>
            <xdr:cNvPr id="13" name="Department 1">
              <a:extLst>
                <a:ext uri="{FF2B5EF4-FFF2-40B4-BE49-F238E27FC236}">
                  <a16:creationId xmlns:a16="http://schemas.microsoft.com/office/drawing/2014/main" id="{CB4C6684-710A-CA2A-9DC6-897AC93AB73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2311401"/>
              <a:ext cx="1771650" cy="235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133350</xdr:rowOff>
    </xdr:from>
    <xdr:to>
      <xdr:col>2</xdr:col>
      <xdr:colOff>561974</xdr:colOff>
      <xdr:row>39</xdr:row>
      <xdr:rowOff>120650</xdr:rowOff>
    </xdr:to>
    <mc:AlternateContent xmlns:mc="http://schemas.openxmlformats.org/markup-compatibility/2006">
      <mc:Choice xmlns:a14="http://schemas.microsoft.com/office/drawing/2010/main" Requires="a14">
        <xdr:graphicFrame macro="">
          <xdr:nvGraphicFramePr>
            <xdr:cNvPr id="14" name="Country 1">
              <a:extLst>
                <a:ext uri="{FF2B5EF4-FFF2-40B4-BE49-F238E27FC236}">
                  <a16:creationId xmlns:a16="http://schemas.microsoft.com/office/drawing/2014/main" id="{FCBF2B56-A05A-8952-3306-5FD1647A678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4657725"/>
              <a:ext cx="178434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38100</xdr:colOff>
      <xdr:row>62</xdr:row>
      <xdr:rowOff>15875</xdr:rowOff>
    </xdr:from>
    <xdr:to>
      <xdr:col>9</xdr:col>
      <xdr:colOff>445068</xdr:colOff>
      <xdr:row>72</xdr:row>
      <xdr:rowOff>143145</xdr:rowOff>
    </xdr:to>
    <xdr:pic>
      <xdr:nvPicPr>
        <xdr:cNvPr id="2" name="Picture 1">
          <a:extLst>
            <a:ext uri="{FF2B5EF4-FFF2-40B4-BE49-F238E27FC236}">
              <a16:creationId xmlns:a16="http://schemas.microsoft.com/office/drawing/2014/main" id="{877B2A4F-8B5F-9E5A-73A0-65FF63805EDC}"/>
            </a:ext>
          </a:extLst>
        </xdr:cNvPr>
        <xdr:cNvPicPr>
          <a:picLocks noChangeAspect="1"/>
        </xdr:cNvPicPr>
      </xdr:nvPicPr>
      <xdr:blipFill>
        <a:blip xmlns:r="http://schemas.openxmlformats.org/officeDocument/2006/relationships" r:embed="rId1"/>
        <a:stretch>
          <a:fillRect/>
        </a:stretch>
      </xdr:blipFill>
      <xdr:spPr>
        <a:xfrm>
          <a:off x="3476625" y="12779375"/>
          <a:ext cx="4067743" cy="1933845"/>
        </a:xfrm>
        <a:prstGeom prst="rect">
          <a:avLst/>
        </a:prstGeom>
      </xdr:spPr>
    </xdr:pic>
    <xdr:clientData/>
  </xdr:twoCellAnchor>
  <xdr:twoCellAnchor editAs="oneCell">
    <xdr:from>
      <xdr:col>3</xdr:col>
      <xdr:colOff>9525</xdr:colOff>
      <xdr:row>31</xdr:row>
      <xdr:rowOff>9525</xdr:rowOff>
    </xdr:from>
    <xdr:to>
      <xdr:col>8</xdr:col>
      <xdr:colOff>104775</xdr:colOff>
      <xdr:row>44</xdr:row>
      <xdr:rowOff>159206</xdr:rowOff>
    </xdr:to>
    <xdr:pic>
      <xdr:nvPicPr>
        <xdr:cNvPr id="4" name="Picture 3">
          <a:extLst>
            <a:ext uri="{FF2B5EF4-FFF2-40B4-BE49-F238E27FC236}">
              <a16:creationId xmlns:a16="http://schemas.microsoft.com/office/drawing/2014/main" id="{FDDA4F7D-43B0-CF03-54AF-EF6AD2C31C79}"/>
            </a:ext>
          </a:extLst>
        </xdr:cNvPr>
        <xdr:cNvPicPr>
          <a:picLocks noChangeAspect="1"/>
        </xdr:cNvPicPr>
      </xdr:nvPicPr>
      <xdr:blipFill>
        <a:blip xmlns:r="http://schemas.openxmlformats.org/officeDocument/2006/relationships" r:embed="rId2"/>
        <a:stretch>
          <a:fillRect/>
        </a:stretch>
      </xdr:blipFill>
      <xdr:spPr>
        <a:xfrm>
          <a:off x="3448050" y="6972300"/>
          <a:ext cx="3143250" cy="2502356"/>
        </a:xfrm>
        <a:prstGeom prst="rect">
          <a:avLst/>
        </a:prstGeom>
      </xdr:spPr>
    </xdr:pic>
    <xdr:clientData/>
  </xdr:twoCellAnchor>
  <xdr:twoCellAnchor editAs="oneCell">
    <xdr:from>
      <xdr:col>3</xdr:col>
      <xdr:colOff>92075</xdr:colOff>
      <xdr:row>46</xdr:row>
      <xdr:rowOff>28575</xdr:rowOff>
    </xdr:from>
    <xdr:to>
      <xdr:col>7</xdr:col>
      <xdr:colOff>501650</xdr:colOff>
      <xdr:row>60</xdr:row>
      <xdr:rowOff>124562</xdr:rowOff>
    </xdr:to>
    <xdr:pic>
      <xdr:nvPicPr>
        <xdr:cNvPr id="5" name="Picture 4">
          <a:extLst>
            <a:ext uri="{FF2B5EF4-FFF2-40B4-BE49-F238E27FC236}">
              <a16:creationId xmlns:a16="http://schemas.microsoft.com/office/drawing/2014/main" id="{C3CEB44F-B1B9-44E6-B2B0-F8D51E9EC22D}"/>
            </a:ext>
          </a:extLst>
        </xdr:cNvPr>
        <xdr:cNvPicPr>
          <a:picLocks noChangeAspect="1"/>
        </xdr:cNvPicPr>
      </xdr:nvPicPr>
      <xdr:blipFill>
        <a:blip xmlns:r="http://schemas.openxmlformats.org/officeDocument/2006/relationships" r:embed="rId3"/>
        <a:stretch>
          <a:fillRect/>
        </a:stretch>
      </xdr:blipFill>
      <xdr:spPr>
        <a:xfrm>
          <a:off x="3530600" y="9705975"/>
          <a:ext cx="2847975" cy="2820137"/>
        </a:xfrm>
        <a:prstGeom prst="rect">
          <a:avLst/>
        </a:prstGeom>
      </xdr:spPr>
    </xdr:pic>
    <xdr:clientData/>
  </xdr:twoCellAnchor>
  <xdr:twoCellAnchor editAs="oneCell">
    <xdr:from>
      <xdr:col>3</xdr:col>
      <xdr:colOff>0</xdr:colOff>
      <xdr:row>74</xdr:row>
      <xdr:rowOff>0</xdr:rowOff>
    </xdr:from>
    <xdr:to>
      <xdr:col>10</xdr:col>
      <xdr:colOff>400701</xdr:colOff>
      <xdr:row>103</xdr:row>
      <xdr:rowOff>143654</xdr:rowOff>
    </xdr:to>
    <xdr:pic>
      <xdr:nvPicPr>
        <xdr:cNvPr id="6" name="Picture 5">
          <a:extLst>
            <a:ext uri="{FF2B5EF4-FFF2-40B4-BE49-F238E27FC236}">
              <a16:creationId xmlns:a16="http://schemas.microsoft.com/office/drawing/2014/main" id="{EDDC839B-2970-FB1A-1D06-303881CACCB9}"/>
            </a:ext>
          </a:extLst>
        </xdr:cNvPr>
        <xdr:cNvPicPr>
          <a:picLocks noChangeAspect="1"/>
        </xdr:cNvPicPr>
      </xdr:nvPicPr>
      <xdr:blipFill>
        <a:blip xmlns:r="http://schemas.openxmlformats.org/officeDocument/2006/relationships" r:embed="rId4"/>
        <a:stretch>
          <a:fillRect/>
        </a:stretch>
      </xdr:blipFill>
      <xdr:spPr>
        <a:xfrm>
          <a:off x="3438525" y="14935200"/>
          <a:ext cx="4667901" cy="55824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164352" createdVersion="6" refreshedVersion="8" minRefreshableVersion="3" recordCount="150" xr:uid="{A891010B-25D9-407C-BB11-029607E208D3}">
  <cacheSource type="worksheet">
    <worksheetSource ref="A1:K151" sheet="Week 3"/>
  </cacheSource>
  <cacheFields count="11">
    <cacheField name="Employee ID" numFmtId="0">
      <sharedItems/>
    </cacheField>
    <cacheField name="Name" numFmtId="0">
      <sharedItems/>
    </cacheField>
    <cacheField name="Department" numFmtId="0">
      <sharedItems count="6">
        <s v="FINANCE"/>
        <s v="HR"/>
        <s v="SALES"/>
        <s v="IT"/>
        <s v="MARKETING"/>
        <s v="UNKNOWN"/>
      </sharedItems>
    </cacheField>
    <cacheField name="Country" numFmtId="0">
      <sharedItems count="6">
        <s v="unknown"/>
        <s v="germany"/>
        <s v="usa"/>
        <s v="india"/>
        <s v="uk"/>
        <s v="australia"/>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pivotCacheId="10969181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1990743" createdVersion="6" refreshedVersion="8" minRefreshableVersion="3" recordCount="150" xr:uid="{E75546CA-3AA0-413B-ADD6-486FD2543458}">
  <cacheSource type="worksheet">
    <worksheetSource ref="A1:K151" sheet="Week 3"/>
  </cacheSource>
  <cacheFields count="11">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6">
        <s v="FINANCE"/>
        <s v="HR"/>
        <s v="SALES"/>
        <s v="IT"/>
        <s v="MARKETING"/>
        <s v="UNKNOWN"/>
      </sharedItems>
    </cacheField>
    <cacheField name="Country" numFmtId="0">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pivotCacheId="6435222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2106482" createdVersion="6" refreshedVersion="8" minRefreshableVersion="3" recordCount="150" xr:uid="{22BC5210-680B-4005-A684-3DCB18D368F0}">
  <cacheSource type="worksheet">
    <worksheetSource ref="A1:K151" sheet="Week 3"/>
  </cacheSource>
  <cacheFields count="11">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Unknown"/>
        <s v="Eve Adams"/>
        <s v="Alice Brown"/>
        <s v="John Doe"/>
        <s v="Jane Smith"/>
        <s v="Sam Wilson"/>
        <s v="Chris Lee"/>
        <s v="Bob Johnson"/>
      </sharedItems>
    </cacheField>
    <cacheField name="Department" numFmtId="0">
      <sharedItems/>
    </cacheField>
    <cacheField name="Country" numFmtId="0">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2106482" createdVersion="6" refreshedVersion="8" minRefreshableVersion="3" recordCount="150" xr:uid="{A5736073-E36A-48F4-8EE8-656D743B964B}">
  <cacheSource type="worksheet">
    <worksheetSource ref="A1:K151" sheet="Week 3"/>
  </cacheSource>
  <cacheFields count="11">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acheField>
    <cacheField name="Country" numFmtId="0">
      <sharedItems count="6">
        <s v="unknown"/>
        <s v="germany"/>
        <s v="usa"/>
        <s v="india"/>
        <s v="uk"/>
        <s v="australia"/>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222222" createdVersion="6" refreshedVersion="8" minRefreshableVersion="3" recordCount="150" xr:uid="{F6F07B26-E725-49DF-A724-BDA134C5A40D}">
  <cacheSource type="worksheet">
    <worksheetSource ref="A1:K151" sheet="Week 3"/>
  </cacheSource>
  <cacheFields count="11">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Unknown"/>
        <s v="Eve Adams"/>
        <s v="Alice Brown"/>
        <s v="John Doe"/>
        <s v="Jane Smith"/>
        <s v="Sam Wilson"/>
        <s v="Chris Lee"/>
        <s v="Bob Johnson"/>
      </sharedItems>
    </cacheField>
    <cacheField name="Department" numFmtId="0">
      <sharedItems/>
    </cacheField>
    <cacheField name="Country" numFmtId="0">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2337966" createdVersion="6" refreshedVersion="8" minRefreshableVersion="3" recordCount="150" xr:uid="{958E67B2-1923-4076-BD2A-BBB912EB2151}">
  <cacheSource type="worksheet">
    <worksheetSource ref="A1:K151" sheet="Week 3"/>
  </cacheSource>
  <cacheFields count="11">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acheField>
    <cacheField name="Country" numFmtId="0">
      <sharedItems count="6">
        <s v="unknown"/>
        <s v="germany"/>
        <s v="usa"/>
        <s v="india"/>
        <s v="uk"/>
        <s v="australia"/>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pivotCacheId="1355114048"/>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2453705" createdVersion="6" refreshedVersion="8" minRefreshableVersion="3" recordCount="150" xr:uid="{0E06AE15-FD10-489B-90B8-2BAED73D4AA8}">
  <cacheSource type="worksheet">
    <worksheetSource ref="A1:K151" sheet="Week 3"/>
  </cacheSource>
  <cacheFields count="11">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Unknown"/>
        <s v="Eve Adams"/>
        <s v="Alice Brown"/>
        <s v="John Doe"/>
        <s v="Jane Smith"/>
        <s v="Sam Wilson"/>
        <s v="Chris Lee"/>
        <s v="Bob Johnson"/>
      </sharedItems>
    </cacheField>
    <cacheField name="Department" numFmtId="0">
      <sharedItems/>
    </cacheField>
    <cacheField name="Country" numFmtId="0">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pivotCacheId="2808518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2569444" createdVersion="6" refreshedVersion="8" minRefreshableVersion="3" recordCount="150" xr:uid="{13056594-1908-46EE-AFE5-B875C4AAFA50}">
  <cacheSource type="worksheet">
    <worksheetSource ref="A1:K151" sheet="Week 3"/>
  </cacheSource>
  <cacheFields count="11">
    <cacheField name="Employee ID" numFmtId="0">
      <sharedItems/>
    </cacheField>
    <cacheField name="Name" numFmtId="0">
      <sharedItems/>
    </cacheField>
    <cacheField name="Department" numFmtId="0">
      <sharedItems/>
    </cacheField>
    <cacheField name="Country" numFmtId="0">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ount="142">
        <s v="Unknown"/>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pivotCacheId="34902694"/>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vashini Viswanathan" refreshedDate="45985.918022569444" createdVersion="6" refreshedVersion="8" minRefreshableVersion="3" recordCount="150" xr:uid="{43EF6A19-6F97-46CB-AD89-5C27BDA8DBD3}">
  <cacheSource type="worksheet">
    <worksheetSource ref="A1:K151" sheet="Week 3"/>
  </cacheSource>
  <cacheFields count="11">
    <cacheField name="Employee ID" numFmtId="0">
      <sharedItems/>
    </cacheField>
    <cacheField name="Name" numFmtId="0">
      <sharedItems/>
    </cacheField>
    <cacheField name="Department" numFmtId="0">
      <sharedItems/>
    </cacheField>
    <cacheField name="Country" numFmtId="0">
      <sharedItems/>
    </cacheField>
    <cacheField name="Salary" numFmtId="2">
      <sharedItems containsSemiMixedTypes="0" containsString="0" containsNumber="1" containsInteger="1" minValue="30280" maxValue="99621"/>
    </cacheField>
    <cacheField name="Date of Joining" numFmtId="165">
      <sharedItems containsDate="1" containsMixedTypes="1" minDate="2015-01-11T00:00:00" maxDate="2017-11-13T00:00:00"/>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Joining Days" numFmtId="1">
      <sharedItems containsSemiMixedTypes="0" containsString="0" containsNumber="1" containsInteger="1" minValue="0" maxValue="30"/>
    </cacheField>
    <cacheField name="Email2" numFmtId="49">
      <sharedItems/>
    </cacheField>
  </cacheFields>
  <extLst>
    <ext xmlns:x14="http://schemas.microsoft.com/office/spreadsheetml/2009/9/main" uri="{725AE2AE-9491-48be-B2B4-4EB974FC3084}">
      <x14:pivotCacheDefinition pivotCacheId="1007042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x v="0"/>
    <x v="0"/>
    <n v="65605"/>
    <s v="Unknown"/>
    <n v="2"/>
    <x v="0"/>
    <s v="invalid_email"/>
    <n v="0"/>
    <s v="unknown"/>
  </r>
  <r>
    <s v="EMP1001"/>
    <s v="Eve Adams"/>
    <x v="1"/>
    <x v="1"/>
    <n v="54255"/>
    <d v="2015-01-11T00:00:00"/>
    <n v="1"/>
    <x v="1"/>
    <s v="user106@example.com"/>
    <n v="13"/>
    <s v="user106@example.com"/>
  </r>
  <r>
    <s v="EMP1002"/>
    <s v="Alice Brown"/>
    <x v="0"/>
    <x v="1"/>
    <n v="63184"/>
    <d v="2015-01-18T00:00:00"/>
    <n v="2"/>
    <x v="0"/>
    <s v="user176@example.com"/>
    <n v="6"/>
    <s v="user176@example.com"/>
  </r>
  <r>
    <s v="EMP1003"/>
    <s v="John Doe"/>
    <x v="2"/>
    <x v="2"/>
    <n v="94406"/>
    <d v="2015-01-25T00:00:00"/>
    <n v="1"/>
    <x v="2"/>
    <s v="user168@example.com"/>
    <n v="30"/>
    <s v="user168@example.com"/>
  </r>
  <r>
    <s v="EMP1004"/>
    <s v="Jane Smith"/>
    <x v="2"/>
    <x v="1"/>
    <n v="64120"/>
    <d v="2015-02-01T00:00:00"/>
    <n v="1"/>
    <x v="2"/>
    <s v="user49@example.com"/>
    <n v="23"/>
    <s v="user49@example.com"/>
  </r>
  <r>
    <s v="EMP1005"/>
    <s v="Alice Brown"/>
    <x v="3"/>
    <x v="3"/>
    <n v="78421"/>
    <d v="2015-02-08T00:00:00"/>
    <n v="2"/>
    <x v="3"/>
    <s v="user24@example.com"/>
    <n v="16"/>
    <s v="user24@example.com"/>
  </r>
  <r>
    <s v="EMP1006"/>
    <s v="Sam Wilson"/>
    <x v="2"/>
    <x v="0"/>
    <n v="67721"/>
    <d v="2015-02-15T00:00:00"/>
    <n v="3"/>
    <x v="2"/>
    <s v="user168@example.com"/>
    <n v="9"/>
    <s v="user168@example.com"/>
  </r>
  <r>
    <s v="EMP1007"/>
    <s v="Chris Lee"/>
    <x v="4"/>
    <x v="0"/>
    <n v="35364"/>
    <d v="2015-02-22T00:00:00"/>
    <n v="2"/>
    <x v="1"/>
    <s v="user26@example.com"/>
    <n v="2"/>
    <s v="user26@example.com"/>
  </r>
  <r>
    <s v="EMP1008"/>
    <s v="Alice Brown"/>
    <x v="3"/>
    <x v="1"/>
    <n v="97881"/>
    <d v="2015-03-01T00:00:00"/>
    <n v="3"/>
    <x v="3"/>
    <s v="user25@example.com"/>
    <n v="23"/>
    <s v="user25@example.com"/>
  </r>
  <r>
    <s v="EMP1009"/>
    <s v="Chris Lee"/>
    <x v="1"/>
    <x v="4"/>
    <n v="91846"/>
    <d v="2015-03-08T00:00:00"/>
    <n v="3"/>
    <x v="2"/>
    <s v="user153@example.com"/>
    <n v="16"/>
    <s v="user153@example.com"/>
  </r>
  <r>
    <s v="EMP1010"/>
    <s v="Sam Wilson"/>
    <x v="0"/>
    <x v="4"/>
    <n v="64247"/>
    <d v="2015-03-15T00:00:00"/>
    <n v="1"/>
    <x v="3"/>
    <s v="user18@example.com"/>
    <n v="9"/>
    <s v="user18@example.com"/>
  </r>
  <r>
    <s v="EMP1011"/>
    <s v="Sam Wilson"/>
    <x v="3"/>
    <x v="2"/>
    <n v="91180"/>
    <d v="2015-03-22T00:00:00"/>
    <n v="5"/>
    <x v="2"/>
    <s v="user1@example.com"/>
    <n v="2"/>
    <s v="user1@example.com"/>
  </r>
  <r>
    <s v="EMP1012"/>
    <s v="Bob Johnson"/>
    <x v="2"/>
    <x v="0"/>
    <n v="96418"/>
    <d v="2015-03-29T00:00:00"/>
    <n v="5"/>
    <x v="2"/>
    <s v="user106@example.com"/>
    <n v="26"/>
    <s v="user106@example.com"/>
  </r>
  <r>
    <s v="EMP1013"/>
    <s v="Sam Wilson"/>
    <x v="5"/>
    <x v="3"/>
    <n v="62158"/>
    <d v="2015-04-05T00:00:00"/>
    <n v="4"/>
    <x v="0"/>
    <s v="user180@example.com"/>
    <n v="19"/>
    <s v="user180@example.com"/>
  </r>
  <r>
    <s v="EMP1014"/>
    <s v="Jane Smith"/>
    <x v="1"/>
    <x v="0"/>
    <n v="59894"/>
    <d v="2015-04-12T00:00:00"/>
    <n v="2"/>
    <x v="2"/>
    <s v="user184@example.com"/>
    <n v="12"/>
    <s v="user184@example.com"/>
  </r>
  <r>
    <s v="EMP1015"/>
    <s v="Unknown"/>
    <x v="3"/>
    <x v="3"/>
    <n v="92443"/>
    <d v="2015-04-19T00:00:00"/>
    <n v="3"/>
    <x v="1"/>
    <s v="user3@example.com"/>
    <n v="5"/>
    <s v="user3@example.com"/>
  </r>
  <r>
    <s v="EMP1016"/>
    <s v="Bob Johnson"/>
    <x v="5"/>
    <x v="1"/>
    <n v="90271"/>
    <d v="2015-04-26T00:00:00"/>
    <n v="3"/>
    <x v="0"/>
    <s v="user64@example.com"/>
    <n v="29"/>
    <s v="user64@example.com"/>
  </r>
  <r>
    <s v="EMP1017"/>
    <s v="Jane Smith"/>
    <x v="0"/>
    <x v="5"/>
    <n v="41341"/>
    <d v="2015-05-03T00:00:00"/>
    <n v="1"/>
    <x v="1"/>
    <s v="user38@example.com"/>
    <n v="21"/>
    <s v="user38@example.com"/>
  </r>
  <r>
    <s v="EMP1018"/>
    <s v="Alice Brown"/>
    <x v="0"/>
    <x v="4"/>
    <n v="73602"/>
    <d v="2015-05-10T00:00:00"/>
    <n v="3"/>
    <x v="0"/>
    <s v="user96@example.com"/>
    <n v="14"/>
    <s v="user96@example.com"/>
  </r>
  <r>
    <s v="EMP1019"/>
    <s v="Eve Adams"/>
    <x v="5"/>
    <x v="3"/>
    <n v="67531"/>
    <d v="2015-05-17T00:00:00"/>
    <n v="5"/>
    <x v="3"/>
    <s v="user151@example.com"/>
    <n v="7"/>
    <s v="user151@example.com"/>
  </r>
  <r>
    <s v="EMP1020"/>
    <s v="Jane Smith"/>
    <x v="1"/>
    <x v="2"/>
    <n v="67835"/>
    <d v="2015-05-24T00:00:00"/>
    <n v="2"/>
    <x v="1"/>
    <s v="user200@example.com"/>
    <n v="0"/>
    <s v="user200@example.com"/>
  </r>
  <r>
    <s v="EMP1021"/>
    <s v="Jane Smith"/>
    <x v="1"/>
    <x v="0"/>
    <n v="98922"/>
    <d v="2015-05-31T00:00:00"/>
    <n v="4"/>
    <x v="0"/>
    <s v="user77@example.com"/>
    <n v="24"/>
    <s v="user77@example.com"/>
  </r>
  <r>
    <s v="EMP1022"/>
    <s v="Eve Adams"/>
    <x v="0"/>
    <x v="3"/>
    <n v="38333"/>
    <d v="2015-06-07T00:00:00"/>
    <n v="5"/>
    <x v="0"/>
    <s v="user128@example.com"/>
    <n v="17"/>
    <s v="user128@example.com"/>
  </r>
  <r>
    <s v="EMP1023"/>
    <s v="Alice Brown"/>
    <x v="4"/>
    <x v="4"/>
    <n v="36515"/>
    <d v="2015-06-14T00:00:00"/>
    <n v="3"/>
    <x v="2"/>
    <s v="user149@example.com"/>
    <n v="10"/>
    <s v="user149@example.com"/>
  </r>
  <r>
    <s v="EMP1024"/>
    <s v="Sam Wilson"/>
    <x v="0"/>
    <x v="0"/>
    <n v="91005"/>
    <d v="2015-06-21T00:00:00"/>
    <n v="1"/>
    <x v="1"/>
    <s v="user122@example.com"/>
    <n v="3"/>
    <s v="user122@example.com"/>
  </r>
  <r>
    <s v="EMP1025"/>
    <s v="Chris Lee"/>
    <x v="5"/>
    <x v="0"/>
    <n v="52272"/>
    <d v="2015-06-28T00:00:00"/>
    <n v="3"/>
    <x v="0"/>
    <s v="user41@example.com"/>
    <n v="27"/>
    <s v="user41@example.com"/>
  </r>
  <r>
    <s v="EMP1026"/>
    <s v="Eve Adams"/>
    <x v="2"/>
    <x v="1"/>
    <n v="76518"/>
    <d v="2015-07-05T00:00:00"/>
    <n v="2"/>
    <x v="3"/>
    <s v="user68@example.com"/>
    <n v="19"/>
    <s v="user68@example.com"/>
  </r>
  <r>
    <s v="EMP1027"/>
    <s v="Alice Brown"/>
    <x v="3"/>
    <x v="4"/>
    <n v="41448"/>
    <d v="2015-07-12T00:00:00"/>
    <n v="3"/>
    <x v="1"/>
    <s v="user103@example.com"/>
    <n v="12"/>
    <s v="user103@example.com"/>
  </r>
  <r>
    <s v="EMP1028"/>
    <s v="John Doe"/>
    <x v="1"/>
    <x v="4"/>
    <n v="49282"/>
    <d v="2015-07-19T00:00:00"/>
    <n v="2"/>
    <x v="3"/>
    <s v="user135@example.com"/>
    <n v="5"/>
    <s v="user135@example.com"/>
  </r>
  <r>
    <s v="EMP1029"/>
    <s v="Bob Johnson"/>
    <x v="4"/>
    <x v="4"/>
    <n v="92959"/>
    <d v="2015-07-26T00:00:00"/>
    <n v="5"/>
    <x v="0"/>
    <s v="user83@example.com"/>
    <n v="29"/>
    <s v="user83@example.com"/>
  </r>
  <r>
    <s v="EMP1030"/>
    <s v="Unknown"/>
    <x v="4"/>
    <x v="0"/>
    <n v="92259"/>
    <s v="Unknown"/>
    <n v="1"/>
    <x v="0"/>
    <s v="user109@example.com"/>
    <n v="0"/>
    <s v="user109@example.com"/>
  </r>
  <r>
    <s v="EMP1031"/>
    <s v="Eve Adams"/>
    <x v="1"/>
    <x v="1"/>
    <n v="92299"/>
    <d v="2015-08-09T00:00:00"/>
    <n v="3"/>
    <x v="2"/>
    <s v="user143@example.com"/>
    <n v="15"/>
    <s v="user143@example.com"/>
  </r>
  <r>
    <s v="EMP1032"/>
    <s v="Sam Wilson"/>
    <x v="1"/>
    <x v="0"/>
    <n v="95586"/>
    <d v="2015-08-16T00:00:00"/>
    <n v="3"/>
    <x v="1"/>
    <s v="user190@example.com"/>
    <n v="8"/>
    <s v="user190@example.com"/>
  </r>
  <r>
    <s v="EMP1033"/>
    <s v="Chris Lee"/>
    <x v="5"/>
    <x v="2"/>
    <n v="95367"/>
    <d v="2015-08-23T00:00:00"/>
    <n v="3"/>
    <x v="2"/>
    <s v="user136@example.com"/>
    <n v="1"/>
    <s v="user136@example.com"/>
  </r>
  <r>
    <s v="EMP1034"/>
    <s v="John Doe"/>
    <x v="2"/>
    <x v="5"/>
    <n v="79549"/>
    <d v="2015-08-30T00:00:00"/>
    <n v="3"/>
    <x v="0"/>
    <s v="user198@example.com"/>
    <n v="25"/>
    <s v="user198@example.com"/>
  </r>
  <r>
    <s v="EMP1035"/>
    <s v="Alice Brown"/>
    <x v="5"/>
    <x v="4"/>
    <n v="54463"/>
    <d v="2015-09-06T00:00:00"/>
    <n v="4"/>
    <x v="2"/>
    <s v="invalid_email"/>
    <n v="18"/>
    <s v="unknown"/>
  </r>
  <r>
    <s v="EMP1036"/>
    <s v="Alice Brown"/>
    <x v="3"/>
    <x v="2"/>
    <n v="89781"/>
    <d v="2015-09-13T00:00:00"/>
    <n v="3"/>
    <x v="3"/>
    <s v="user31@example.com"/>
    <n v="11"/>
    <s v="user31@example.com"/>
  </r>
  <r>
    <s v="EMP1037"/>
    <s v="Alice Brown"/>
    <x v="1"/>
    <x v="0"/>
    <n v="64796"/>
    <d v="2015-09-20T00:00:00"/>
    <n v="3"/>
    <x v="1"/>
    <s v="user98@example.com"/>
    <n v="4"/>
    <s v="user98@example.com"/>
  </r>
  <r>
    <s v="EMP1038"/>
    <s v="John Doe"/>
    <x v="4"/>
    <x v="4"/>
    <n v="52093"/>
    <d v="2015-09-27T00:00:00"/>
    <n v="5"/>
    <x v="0"/>
    <s v="user154@example.com"/>
    <n v="28"/>
    <s v="user154@example.com"/>
  </r>
  <r>
    <s v="EMP1039"/>
    <s v="Chris Lee"/>
    <x v="1"/>
    <x v="4"/>
    <n v="48224"/>
    <d v="2015-10-04T00:00:00"/>
    <n v="3"/>
    <x v="0"/>
    <s v="user42@example.com"/>
    <n v="20"/>
    <s v="user42@example.com"/>
  </r>
  <r>
    <s v="EMP1040"/>
    <s v="Bob Johnson"/>
    <x v="0"/>
    <x v="4"/>
    <n v="65605"/>
    <s v="Unknown"/>
    <n v="4"/>
    <x v="3"/>
    <s v="user89@example.com"/>
    <n v="0"/>
    <s v="user89@example.com"/>
  </r>
  <r>
    <s v="EMP1041"/>
    <s v="Alice Brown"/>
    <x v="3"/>
    <x v="1"/>
    <n v="33956"/>
    <d v="2015-10-18T00:00:00"/>
    <n v="3"/>
    <x v="0"/>
    <s v="user47@example.com"/>
    <n v="6"/>
    <s v="user47@example.com"/>
  </r>
  <r>
    <s v="EMP1042"/>
    <s v="Bob Johnson"/>
    <x v="5"/>
    <x v="5"/>
    <n v="64913"/>
    <d v="2015-10-25T00:00:00"/>
    <n v="1"/>
    <x v="3"/>
    <s v="user175@example.com"/>
    <n v="30"/>
    <s v="user175@example.com"/>
  </r>
  <r>
    <s v="EMP1043"/>
    <s v="Alice Brown"/>
    <x v="4"/>
    <x v="5"/>
    <n v="35326"/>
    <d v="2015-11-01T00:00:00"/>
    <n v="3"/>
    <x v="3"/>
    <s v="user57@example.com"/>
    <n v="23"/>
    <s v="user57@example.com"/>
  </r>
  <r>
    <s v="EMP1044"/>
    <s v="Chris Lee"/>
    <x v="0"/>
    <x v="0"/>
    <n v="81610"/>
    <d v="2015-11-08T00:00:00"/>
    <n v="1"/>
    <x v="0"/>
    <s v="user20@example.com"/>
    <n v="16"/>
    <s v="user20@example.com"/>
  </r>
  <r>
    <s v="EMP1045"/>
    <s v="Unknown"/>
    <x v="1"/>
    <x v="0"/>
    <n v="58962"/>
    <d v="2015-11-15T00:00:00"/>
    <n v="3"/>
    <x v="1"/>
    <s v="user106@example.com"/>
    <n v="9"/>
    <s v="user106@example.com"/>
  </r>
  <r>
    <s v="EMP1046"/>
    <s v="Chris Lee"/>
    <x v="3"/>
    <x v="1"/>
    <n v="92701"/>
    <d v="2015-11-22T00:00:00"/>
    <n v="3"/>
    <x v="1"/>
    <s v="user199@example.com"/>
    <n v="2"/>
    <s v="user199@example.com"/>
  </r>
  <r>
    <s v="EMP1047"/>
    <s v="Chris Lee"/>
    <x v="1"/>
    <x v="3"/>
    <n v="58245"/>
    <d v="2015-11-29T00:00:00"/>
    <n v="4"/>
    <x v="0"/>
    <s v="user43@example.com"/>
    <n v="26"/>
    <s v="user43@example.com"/>
  </r>
  <r>
    <s v="EMP1048"/>
    <s v="John Doe"/>
    <x v="0"/>
    <x v="0"/>
    <n v="66513"/>
    <d v="2015-12-06T00:00:00"/>
    <n v="2"/>
    <x v="1"/>
    <s v="user24@example.com"/>
    <n v="18"/>
    <s v="user24@example.com"/>
  </r>
  <r>
    <s v="EMP1049"/>
    <s v="Eve Adams"/>
    <x v="1"/>
    <x v="1"/>
    <n v="78720"/>
    <d v="2015-12-13T00:00:00"/>
    <n v="5"/>
    <x v="3"/>
    <s v="user89@example.com"/>
    <n v="11"/>
    <s v="user89@example.com"/>
  </r>
  <r>
    <s v="EMP1050"/>
    <s v="Chris Lee"/>
    <x v="5"/>
    <x v="0"/>
    <n v="30686"/>
    <s v="Unknown"/>
    <n v="2"/>
    <x v="3"/>
    <s v="user95@example.com"/>
    <n v="0"/>
    <s v="user95@example.com"/>
  </r>
  <r>
    <s v="EMP1051"/>
    <s v="Sam Wilson"/>
    <x v="2"/>
    <x v="3"/>
    <n v="39423"/>
    <d v="2015-12-27T00:00:00"/>
    <n v="5"/>
    <x v="0"/>
    <s v="user59@example.com"/>
    <n v="28"/>
    <s v="user59@example.com"/>
  </r>
  <r>
    <s v="EMP1052"/>
    <s v="Eve Adams"/>
    <x v="4"/>
    <x v="0"/>
    <n v="30280"/>
    <d v="2016-01-03T00:00:00"/>
    <n v="1"/>
    <x v="0"/>
    <s v="user152@example.com"/>
    <n v="21"/>
    <s v="user152@example.com"/>
  </r>
  <r>
    <s v="EMP1053"/>
    <s v="Eve Adams"/>
    <x v="0"/>
    <x v="4"/>
    <n v="33352"/>
    <d v="2016-01-10T00:00:00"/>
    <n v="3"/>
    <x v="3"/>
    <s v="user200@example.com"/>
    <n v="14"/>
    <s v="user200@example.com"/>
  </r>
  <r>
    <s v="EMP1054"/>
    <s v="Bob Johnson"/>
    <x v="4"/>
    <x v="4"/>
    <n v="75633"/>
    <d v="2016-01-17T00:00:00"/>
    <n v="5"/>
    <x v="1"/>
    <s v="user92@example.com"/>
    <n v="7"/>
    <s v="user92@example.com"/>
  </r>
  <r>
    <s v="EMP1055"/>
    <s v="Chris Lee"/>
    <x v="5"/>
    <x v="2"/>
    <n v="74815"/>
    <d v="2016-01-24T00:00:00"/>
    <n v="5"/>
    <x v="3"/>
    <s v="user50@example.com"/>
    <n v="0"/>
    <s v="user50@example.com"/>
  </r>
  <r>
    <s v="EMP1056"/>
    <s v="John Doe"/>
    <x v="2"/>
    <x v="5"/>
    <n v="60011"/>
    <d v="2016-01-31T00:00:00"/>
    <n v="1"/>
    <x v="2"/>
    <s v="user63@example.com"/>
    <n v="24"/>
    <s v="user63@example.com"/>
  </r>
  <r>
    <s v="EMP1057"/>
    <s v="Eve Adams"/>
    <x v="5"/>
    <x v="3"/>
    <n v="96949"/>
    <d v="2016-02-07T00:00:00"/>
    <n v="3"/>
    <x v="0"/>
    <s v="user103@example.com"/>
    <n v="17"/>
    <s v="user103@example.com"/>
  </r>
  <r>
    <s v="EMP1058"/>
    <s v="Sam Wilson"/>
    <x v="4"/>
    <x v="0"/>
    <n v="84924"/>
    <d v="2016-02-14T00:00:00"/>
    <n v="5"/>
    <x v="2"/>
    <s v="user150@example.com"/>
    <n v="10"/>
    <s v="user150@example.com"/>
  </r>
  <r>
    <s v="EMP1059"/>
    <s v="Sam Wilson"/>
    <x v="0"/>
    <x v="2"/>
    <n v="82033"/>
    <d v="2016-02-21T00:00:00"/>
    <n v="1"/>
    <x v="0"/>
    <s v="user20@example.com"/>
    <n v="3"/>
    <s v="user20@example.com"/>
  </r>
  <r>
    <s v="EMP1060"/>
    <s v="Unknown"/>
    <x v="4"/>
    <x v="1"/>
    <n v="63687"/>
    <s v="Unknown"/>
    <n v="5"/>
    <x v="0"/>
    <s v="user112@example.com"/>
    <n v="0"/>
    <s v="user112@example.com"/>
  </r>
  <r>
    <s v="EMP1061"/>
    <s v="Eve Adams"/>
    <x v="5"/>
    <x v="5"/>
    <n v="31499"/>
    <d v="2016-03-06T00:00:00"/>
    <n v="2"/>
    <x v="0"/>
    <s v="user31@example.com"/>
    <n v="18"/>
    <s v="user31@example.com"/>
  </r>
  <r>
    <s v="EMP1062"/>
    <s v="Chris Lee"/>
    <x v="3"/>
    <x v="4"/>
    <n v="97981"/>
    <d v="2016-03-13T00:00:00"/>
    <n v="5"/>
    <x v="3"/>
    <s v="user71@example.com"/>
    <n v="11"/>
    <s v="user71@example.com"/>
  </r>
  <r>
    <s v="EMP1063"/>
    <s v="Eve Adams"/>
    <x v="1"/>
    <x v="2"/>
    <n v="36541"/>
    <d v="2016-03-20T00:00:00"/>
    <n v="2"/>
    <x v="1"/>
    <s v="user97@example.com"/>
    <n v="4"/>
    <s v="user97@example.com"/>
  </r>
  <r>
    <s v="EMP1064"/>
    <s v="John Doe"/>
    <x v="3"/>
    <x v="3"/>
    <n v="84737"/>
    <d v="2016-03-27T00:00:00"/>
    <n v="1"/>
    <x v="2"/>
    <s v="user141@example.com"/>
    <n v="28"/>
    <s v="user141@example.com"/>
  </r>
  <r>
    <s v="EMP1065"/>
    <s v="Sam Wilson"/>
    <x v="0"/>
    <x v="3"/>
    <n v="33468"/>
    <d v="2016-04-03T00:00:00"/>
    <n v="4"/>
    <x v="2"/>
    <s v="user125@example.com"/>
    <n v="21"/>
    <s v="user125@example.com"/>
  </r>
  <r>
    <s v="EMP1066"/>
    <s v="Sam Wilson"/>
    <x v="5"/>
    <x v="5"/>
    <n v="96365"/>
    <d v="2016-04-10T00:00:00"/>
    <n v="3"/>
    <x v="1"/>
    <s v="user90@example.com"/>
    <n v="14"/>
    <s v="user90@example.com"/>
  </r>
  <r>
    <s v="EMP1067"/>
    <s v="Alice Brown"/>
    <x v="2"/>
    <x v="3"/>
    <n v="61942"/>
    <d v="2016-04-17T00:00:00"/>
    <n v="3"/>
    <x v="3"/>
    <s v="user192@example.com"/>
    <n v="7"/>
    <s v="user192@example.com"/>
  </r>
  <r>
    <s v="EMP1068"/>
    <s v="Sam Wilson"/>
    <x v="0"/>
    <x v="4"/>
    <n v="41467"/>
    <d v="2016-04-24T00:00:00"/>
    <n v="2"/>
    <x v="0"/>
    <s v="user77@example.com"/>
    <n v="0"/>
    <s v="user77@example.com"/>
  </r>
  <r>
    <s v="EMP1069"/>
    <s v="Bob Johnson"/>
    <x v="0"/>
    <x v="3"/>
    <n v="77096"/>
    <d v="2016-05-01T00:00:00"/>
    <n v="1"/>
    <x v="0"/>
    <s v="user65@example.com"/>
    <n v="23"/>
    <s v="user65@example.com"/>
  </r>
  <r>
    <s v="EMP1070"/>
    <s v="Eve Adams"/>
    <x v="2"/>
    <x v="5"/>
    <n v="69952"/>
    <d v="2016-05-08T00:00:00"/>
    <n v="5"/>
    <x v="3"/>
    <s v="invalid_email"/>
    <n v="16"/>
    <s v="unknown"/>
  </r>
  <r>
    <s v="EMP1071"/>
    <s v="Eve Adams"/>
    <x v="4"/>
    <x v="2"/>
    <n v="85065"/>
    <d v="2016-05-15T00:00:00"/>
    <n v="3"/>
    <x v="0"/>
    <s v="user142@example.com"/>
    <n v="9"/>
    <s v="user142@example.com"/>
  </r>
  <r>
    <s v="EMP1072"/>
    <s v="Bob Johnson"/>
    <x v="4"/>
    <x v="3"/>
    <n v="56512"/>
    <d v="2016-05-22T00:00:00"/>
    <n v="3"/>
    <x v="1"/>
    <s v="user153@example.com"/>
    <n v="2"/>
    <s v="user153@example.com"/>
  </r>
  <r>
    <s v="EMP1073"/>
    <s v="John Doe"/>
    <x v="2"/>
    <x v="3"/>
    <n v="91101"/>
    <d v="2016-05-29T00:00:00"/>
    <n v="4"/>
    <x v="3"/>
    <s v="user71@example.com"/>
    <n v="26"/>
    <s v="user71@example.com"/>
  </r>
  <r>
    <s v="EMP1074"/>
    <s v="Sam Wilson"/>
    <x v="5"/>
    <x v="1"/>
    <n v="41243"/>
    <d v="2016-06-05T00:00:00"/>
    <n v="3"/>
    <x v="0"/>
    <s v="user143@example.com"/>
    <n v="19"/>
    <s v="user143@example.com"/>
  </r>
  <r>
    <s v="EMP1075"/>
    <s v="Unknown"/>
    <x v="2"/>
    <x v="0"/>
    <n v="96142"/>
    <d v="2016-06-12T00:00:00"/>
    <n v="1"/>
    <x v="1"/>
    <s v="user17@example.com"/>
    <n v="12"/>
    <s v="user17@example.com"/>
  </r>
  <r>
    <s v="EMP1076"/>
    <s v="Eve Adams"/>
    <x v="3"/>
    <x v="3"/>
    <n v="94301"/>
    <d v="2016-06-19T00:00:00"/>
    <n v="1"/>
    <x v="2"/>
    <s v="user20@example.com"/>
    <n v="5"/>
    <s v="user20@example.com"/>
  </r>
  <r>
    <s v="EMP1077"/>
    <s v="Jane Smith"/>
    <x v="5"/>
    <x v="4"/>
    <n v="69166"/>
    <d v="2016-06-26T00:00:00"/>
    <n v="1"/>
    <x v="3"/>
    <s v="user22@example.com"/>
    <n v="29"/>
    <s v="user22@example.com"/>
  </r>
  <r>
    <s v="EMP1078"/>
    <s v="Sam Wilson"/>
    <x v="5"/>
    <x v="4"/>
    <n v="78245"/>
    <d v="2016-07-03T00:00:00"/>
    <n v="2"/>
    <x v="0"/>
    <s v="user46@example.com"/>
    <n v="21"/>
    <s v="user46@example.com"/>
  </r>
  <r>
    <s v="EMP1079"/>
    <s v="Chris Lee"/>
    <x v="2"/>
    <x v="2"/>
    <n v="66079"/>
    <d v="2016-07-10T00:00:00"/>
    <n v="2"/>
    <x v="1"/>
    <s v="user55@example.com"/>
    <n v="14"/>
    <s v="user55@example.com"/>
  </r>
  <r>
    <s v="EMP1080"/>
    <s v="Eve Adams"/>
    <x v="4"/>
    <x v="3"/>
    <n v="63687"/>
    <s v="Unknown"/>
    <n v="3"/>
    <x v="0"/>
    <s v="user135@example.com"/>
    <n v="0"/>
    <s v="user135@example.com"/>
  </r>
  <r>
    <s v="EMP1081"/>
    <s v="Jane Smith"/>
    <x v="2"/>
    <x v="2"/>
    <n v="95621"/>
    <d v="2016-07-24T00:00:00"/>
    <n v="3"/>
    <x v="3"/>
    <s v="user156@example.com"/>
    <n v="0"/>
    <s v="user156@example.com"/>
  </r>
  <r>
    <s v="EMP1082"/>
    <s v="Eve Adams"/>
    <x v="3"/>
    <x v="4"/>
    <n v="42262"/>
    <d v="2016-07-31T00:00:00"/>
    <n v="1"/>
    <x v="0"/>
    <s v="user104@example.com"/>
    <n v="24"/>
    <s v="user104@example.com"/>
  </r>
  <r>
    <s v="EMP1083"/>
    <s v="Sam Wilson"/>
    <x v="2"/>
    <x v="3"/>
    <n v="99621"/>
    <d v="2016-08-07T00:00:00"/>
    <n v="3"/>
    <x v="1"/>
    <s v="user145@example.com"/>
    <n v="17"/>
    <s v="user145@example.com"/>
  </r>
  <r>
    <s v="EMP1084"/>
    <s v="John Doe"/>
    <x v="4"/>
    <x v="3"/>
    <n v="44682"/>
    <d v="2016-08-14T00:00:00"/>
    <n v="4"/>
    <x v="3"/>
    <s v="user47@example.com"/>
    <n v="10"/>
    <s v="user47@example.com"/>
  </r>
  <r>
    <s v="EMP1085"/>
    <s v="Chris Lee"/>
    <x v="0"/>
    <x v="0"/>
    <n v="35163"/>
    <d v="2016-08-21T00:00:00"/>
    <n v="5"/>
    <x v="1"/>
    <s v="user197@example.com"/>
    <n v="3"/>
    <s v="user197@example.com"/>
  </r>
  <r>
    <s v="EMP1086"/>
    <s v="Chris Lee"/>
    <x v="3"/>
    <x v="3"/>
    <n v="33483"/>
    <d v="2016-08-28T00:00:00"/>
    <n v="4"/>
    <x v="2"/>
    <s v="user177@example.com"/>
    <n v="27"/>
    <s v="user177@example.com"/>
  </r>
  <r>
    <s v="EMP1087"/>
    <s v="Sam Wilson"/>
    <x v="1"/>
    <x v="1"/>
    <n v="55303"/>
    <d v="2016-09-04T00:00:00"/>
    <n v="4"/>
    <x v="2"/>
    <s v="user149@example.com"/>
    <n v="20"/>
    <s v="user149@example.com"/>
  </r>
  <r>
    <s v="EMP1088"/>
    <s v="Chris Lee"/>
    <x v="3"/>
    <x v="0"/>
    <n v="63434"/>
    <d v="2016-09-11T00:00:00"/>
    <n v="3"/>
    <x v="0"/>
    <s v="user48@example.com"/>
    <n v="13"/>
    <s v="user48@example.com"/>
  </r>
  <r>
    <s v="EMP1089"/>
    <s v="Jane Smith"/>
    <x v="5"/>
    <x v="5"/>
    <n v="38830"/>
    <d v="2016-09-18T00:00:00"/>
    <n v="3"/>
    <x v="1"/>
    <s v="user149@example.com"/>
    <n v="6"/>
    <s v="user149@example.com"/>
  </r>
  <r>
    <s v="EMP1090"/>
    <s v="Unknown"/>
    <x v="4"/>
    <x v="4"/>
    <n v="50741"/>
    <d v="2016-09-25T00:00:00"/>
    <n v="3"/>
    <x v="0"/>
    <s v="user65@example.com"/>
    <n v="30"/>
    <s v="user65@example.com"/>
  </r>
  <r>
    <s v="EMP1091"/>
    <s v="Alice Brown"/>
    <x v="1"/>
    <x v="5"/>
    <n v="69420"/>
    <d v="2016-10-02T00:00:00"/>
    <n v="1"/>
    <x v="2"/>
    <s v="user43@example.com"/>
    <n v="22"/>
    <s v="user43@example.com"/>
  </r>
  <r>
    <s v="EMP1092"/>
    <s v="Jane Smith"/>
    <x v="3"/>
    <x v="0"/>
    <n v="80588"/>
    <d v="2016-10-09T00:00:00"/>
    <n v="5"/>
    <x v="2"/>
    <s v="user98@example.com"/>
    <n v="15"/>
    <s v="user98@example.com"/>
  </r>
  <r>
    <s v="EMP1093"/>
    <s v="Alice Brown"/>
    <x v="5"/>
    <x v="2"/>
    <n v="76238"/>
    <d v="2016-10-16T00:00:00"/>
    <n v="4"/>
    <x v="2"/>
    <s v="user102@example.com"/>
    <n v="8"/>
    <s v="user102@example.com"/>
  </r>
  <r>
    <s v="EMP1094"/>
    <s v="Bob Johnson"/>
    <x v="3"/>
    <x v="3"/>
    <n v="33264"/>
    <d v="2016-10-23T00:00:00"/>
    <n v="3"/>
    <x v="3"/>
    <s v="user148@example.com"/>
    <n v="1"/>
    <s v="user148@example.com"/>
  </r>
  <r>
    <s v="EMP1095"/>
    <s v="Alice Brown"/>
    <x v="0"/>
    <x v="5"/>
    <n v="96101"/>
    <d v="2016-10-30T00:00:00"/>
    <n v="3"/>
    <x v="1"/>
    <s v="user155@example.com"/>
    <n v="25"/>
    <s v="user155@example.com"/>
  </r>
  <r>
    <s v="EMP1096"/>
    <s v="Jane Smith"/>
    <x v="0"/>
    <x v="2"/>
    <n v="72939"/>
    <d v="2016-11-06T00:00:00"/>
    <n v="3"/>
    <x v="0"/>
    <s v="user191@example.com"/>
    <n v="18"/>
    <s v="user191@example.com"/>
  </r>
  <r>
    <s v="EMP1097"/>
    <s v="Sam Wilson"/>
    <x v="1"/>
    <x v="1"/>
    <n v="89333"/>
    <d v="2016-11-13T00:00:00"/>
    <n v="1"/>
    <x v="2"/>
    <s v="user113@example.com"/>
    <n v="11"/>
    <s v="user113@example.com"/>
  </r>
  <r>
    <s v="EMP1098"/>
    <s v="Bob Johnson"/>
    <x v="3"/>
    <x v="5"/>
    <n v="70470"/>
    <d v="2016-11-20T00:00:00"/>
    <n v="3"/>
    <x v="2"/>
    <s v="user62@example.com"/>
    <n v="4"/>
    <s v="user62@example.com"/>
  </r>
  <r>
    <s v="EMP1099"/>
    <s v="Eve Adams"/>
    <x v="4"/>
    <x v="2"/>
    <n v="70096"/>
    <d v="2016-11-27T00:00:00"/>
    <n v="4"/>
    <x v="2"/>
    <s v="user76@example.com"/>
    <n v="28"/>
    <s v="user76@example.com"/>
  </r>
  <r>
    <s v="EMP1100"/>
    <s v="Bob Johnson"/>
    <x v="4"/>
    <x v="0"/>
    <n v="63687"/>
    <d v="2016-12-04T00:00:00"/>
    <n v="2"/>
    <x v="1"/>
    <s v="user40@example.com"/>
    <n v="20"/>
    <s v="user40@example.com"/>
  </r>
  <r>
    <s v="EMP1101"/>
    <s v="Bob Johnson"/>
    <x v="3"/>
    <x v="1"/>
    <n v="66503"/>
    <d v="2016-12-11T00:00:00"/>
    <n v="3"/>
    <x v="2"/>
    <s v="user200@example.com"/>
    <n v="13"/>
    <s v="user200@example.com"/>
  </r>
  <r>
    <s v="EMP1102"/>
    <s v="Alice Brown"/>
    <x v="1"/>
    <x v="1"/>
    <n v="42096"/>
    <d v="2016-12-18T00:00:00"/>
    <n v="3"/>
    <x v="3"/>
    <s v="user54@example.com"/>
    <n v="6"/>
    <s v="user54@example.com"/>
  </r>
  <r>
    <s v="EMP1103"/>
    <s v="Alice Brown"/>
    <x v="4"/>
    <x v="0"/>
    <n v="79145"/>
    <d v="2016-12-25T00:00:00"/>
    <n v="5"/>
    <x v="1"/>
    <s v="user20@example.com"/>
    <n v="30"/>
    <s v="user20@example.com"/>
  </r>
  <r>
    <s v="EMP1104"/>
    <s v="Jane Smith"/>
    <x v="5"/>
    <x v="5"/>
    <n v="61556"/>
    <d v="2017-01-01T00:00:00"/>
    <n v="1"/>
    <x v="0"/>
    <s v="user40@example.com"/>
    <n v="23"/>
    <s v="user40@example.com"/>
  </r>
  <r>
    <s v="EMP1105"/>
    <s v="Unknown"/>
    <x v="1"/>
    <x v="4"/>
    <n v="87963"/>
    <d v="2017-01-08T00:00:00"/>
    <n v="3"/>
    <x v="1"/>
    <s v="invalid_email"/>
    <n v="16"/>
    <s v="unknown"/>
  </r>
  <r>
    <s v="EMP1106"/>
    <s v="Eve Adams"/>
    <x v="3"/>
    <x v="0"/>
    <n v="48325"/>
    <d v="2017-01-15T00:00:00"/>
    <n v="3"/>
    <x v="2"/>
    <s v="user189@example.com"/>
    <n v="9"/>
    <s v="user189@example.com"/>
  </r>
  <r>
    <s v="EMP1107"/>
    <s v="Sam Wilson"/>
    <x v="4"/>
    <x v="5"/>
    <n v="86412"/>
    <d v="2017-01-22T00:00:00"/>
    <n v="2"/>
    <x v="3"/>
    <s v="user128@example.com"/>
    <n v="2"/>
    <s v="user128@example.com"/>
  </r>
  <r>
    <s v="EMP1108"/>
    <s v="Sam Wilson"/>
    <x v="1"/>
    <x v="0"/>
    <n v="66761"/>
    <d v="2017-01-29T00:00:00"/>
    <n v="1"/>
    <x v="0"/>
    <s v="user93@example.com"/>
    <n v="26"/>
    <s v="user93@example.com"/>
  </r>
  <r>
    <s v="EMP1109"/>
    <s v="Jane Smith"/>
    <x v="5"/>
    <x v="3"/>
    <n v="88850"/>
    <d v="2017-02-05T00:00:00"/>
    <n v="1"/>
    <x v="3"/>
    <s v="user174@example.com"/>
    <n v="19"/>
    <s v="user174@example.com"/>
  </r>
  <r>
    <s v="EMP1110"/>
    <s v="Chris Lee"/>
    <x v="2"/>
    <x v="3"/>
    <n v="31293"/>
    <s v="Unknown"/>
    <n v="2"/>
    <x v="3"/>
    <s v="user44@example.com"/>
    <n v="0"/>
    <s v="user44@example.com"/>
  </r>
  <r>
    <s v="EMP1111"/>
    <s v="Chris Lee"/>
    <x v="3"/>
    <x v="2"/>
    <n v="34306"/>
    <d v="2017-02-19T00:00:00"/>
    <n v="5"/>
    <x v="3"/>
    <s v="user192@example.com"/>
    <n v="5"/>
    <s v="user192@example.com"/>
  </r>
  <r>
    <s v="EMP1112"/>
    <s v="Eve Adams"/>
    <x v="0"/>
    <x v="3"/>
    <n v="78330"/>
    <d v="2017-02-26T00:00:00"/>
    <n v="3"/>
    <x v="1"/>
    <s v="user76@example.com"/>
    <n v="29"/>
    <s v="user76@example.com"/>
  </r>
  <r>
    <s v="EMP1113"/>
    <s v="Alice Brown"/>
    <x v="3"/>
    <x v="2"/>
    <n v="47653"/>
    <d v="2017-03-05T00:00:00"/>
    <n v="1"/>
    <x v="2"/>
    <s v="user82@example.com"/>
    <n v="19"/>
    <s v="user82@example.com"/>
  </r>
  <r>
    <s v="EMP1114"/>
    <s v="Eve Adams"/>
    <x v="4"/>
    <x v="4"/>
    <n v="44627"/>
    <d v="2017-03-12T00:00:00"/>
    <n v="4"/>
    <x v="0"/>
    <s v="user97@example.com"/>
    <n v="12"/>
    <s v="user97@example.com"/>
  </r>
  <r>
    <s v="EMP1115"/>
    <s v="Bob Johnson"/>
    <x v="1"/>
    <x v="1"/>
    <n v="92343"/>
    <d v="2017-03-19T00:00:00"/>
    <n v="4"/>
    <x v="3"/>
    <s v="user149@example.com"/>
    <n v="5"/>
    <s v="user149@example.com"/>
  </r>
  <r>
    <s v="EMP1116"/>
    <s v="Bob Johnson"/>
    <x v="4"/>
    <x v="5"/>
    <n v="38837"/>
    <d v="2017-03-26T00:00:00"/>
    <n v="5"/>
    <x v="3"/>
    <s v="user192@example.com"/>
    <n v="29"/>
    <s v="user192@example.com"/>
  </r>
  <r>
    <s v="EMP1117"/>
    <s v="Bob Johnson"/>
    <x v="4"/>
    <x v="0"/>
    <n v="73483"/>
    <d v="2017-04-02T00:00:00"/>
    <n v="1"/>
    <x v="0"/>
    <s v="user137@example.com"/>
    <n v="22"/>
    <s v="user137@example.com"/>
  </r>
  <r>
    <s v="EMP1118"/>
    <s v="Chris Lee"/>
    <x v="2"/>
    <x v="3"/>
    <n v="95032"/>
    <d v="2017-04-09T00:00:00"/>
    <n v="3"/>
    <x v="0"/>
    <s v="user23@example.com"/>
    <n v="15"/>
    <s v="user23@example.com"/>
  </r>
  <r>
    <s v="EMP1119"/>
    <s v="Eve Adams"/>
    <x v="2"/>
    <x v="5"/>
    <n v="44358"/>
    <d v="2017-04-16T00:00:00"/>
    <n v="3"/>
    <x v="3"/>
    <s v="user200@example.com"/>
    <n v="8"/>
    <s v="user200@example.com"/>
  </r>
  <r>
    <s v="EMP1120"/>
    <s v="Unknown"/>
    <x v="3"/>
    <x v="2"/>
    <n v="66158"/>
    <s v="Unknown"/>
    <n v="5"/>
    <x v="0"/>
    <s v="user101@example.com"/>
    <n v="0"/>
    <s v="user101@example.com"/>
  </r>
  <r>
    <s v="EMP1121"/>
    <s v="Chris Lee"/>
    <x v="2"/>
    <x v="2"/>
    <n v="45676"/>
    <d v="2017-04-30T00:00:00"/>
    <n v="2"/>
    <x v="0"/>
    <s v="user132@example.com"/>
    <n v="25"/>
    <s v="user132@example.com"/>
  </r>
  <r>
    <s v="EMP1122"/>
    <s v="Bob Johnson"/>
    <x v="2"/>
    <x v="1"/>
    <n v="52036"/>
    <d v="2017-05-07T00:00:00"/>
    <n v="3"/>
    <x v="2"/>
    <s v="user171@example.com"/>
    <n v="17"/>
    <s v="user171@example.com"/>
  </r>
  <r>
    <s v="EMP1123"/>
    <s v="Jane Smith"/>
    <x v="5"/>
    <x v="1"/>
    <n v="30357"/>
    <d v="2017-05-14T00:00:00"/>
    <n v="5"/>
    <x v="2"/>
    <s v="user145@example.com"/>
    <n v="10"/>
    <s v="user145@example.com"/>
  </r>
  <r>
    <s v="EMP1124"/>
    <s v="John Doe"/>
    <x v="3"/>
    <x v="0"/>
    <n v="60034"/>
    <d v="2017-05-21T00:00:00"/>
    <n v="1"/>
    <x v="3"/>
    <s v="user75@example.com"/>
    <n v="3"/>
    <s v="user75@example.com"/>
  </r>
  <r>
    <s v="EMP1125"/>
    <s v="John Doe"/>
    <x v="0"/>
    <x v="0"/>
    <n v="90019"/>
    <d v="2017-05-28T00:00:00"/>
    <n v="5"/>
    <x v="0"/>
    <s v="user52@example.com"/>
    <n v="27"/>
    <s v="user52@example.com"/>
  </r>
  <r>
    <s v="EMP1126"/>
    <s v="Bob Johnson"/>
    <x v="5"/>
    <x v="1"/>
    <n v="71494"/>
    <d v="2017-06-04T00:00:00"/>
    <n v="3"/>
    <x v="2"/>
    <s v="user100@example.com"/>
    <n v="20"/>
    <s v="user100@example.com"/>
  </r>
  <r>
    <s v="EMP1127"/>
    <s v="John Doe"/>
    <x v="0"/>
    <x v="2"/>
    <n v="91953"/>
    <d v="2017-06-11T00:00:00"/>
    <n v="2"/>
    <x v="2"/>
    <s v="user83@example.com"/>
    <n v="13"/>
    <s v="user83@example.com"/>
  </r>
  <r>
    <s v="EMP1128"/>
    <s v="Chris Lee"/>
    <x v="2"/>
    <x v="2"/>
    <n v="30402"/>
    <d v="2017-06-18T00:00:00"/>
    <n v="1"/>
    <x v="0"/>
    <s v="user167@example.com"/>
    <n v="6"/>
    <s v="user167@example.com"/>
  </r>
  <r>
    <s v="EMP1129"/>
    <s v="Bob Johnson"/>
    <x v="5"/>
    <x v="4"/>
    <n v="62994"/>
    <d v="2017-06-25T00:00:00"/>
    <n v="3"/>
    <x v="0"/>
    <s v="user175@example.com"/>
    <n v="30"/>
    <s v="user175@example.com"/>
  </r>
  <r>
    <s v="EMP1130"/>
    <s v="Alice Brown"/>
    <x v="2"/>
    <x v="3"/>
    <n v="48289"/>
    <s v="Unknown"/>
    <n v="3"/>
    <x v="2"/>
    <s v="user25@example.com"/>
    <n v="0"/>
    <s v="user25@example.com"/>
  </r>
  <r>
    <s v="EMP1131"/>
    <s v="Sam Wilson"/>
    <x v="4"/>
    <x v="1"/>
    <n v="34402"/>
    <d v="2017-07-09T00:00:00"/>
    <n v="3"/>
    <x v="1"/>
    <s v="user42@example.com"/>
    <n v="15"/>
    <s v="user42@example.com"/>
  </r>
  <r>
    <s v="EMP1132"/>
    <s v="Eve Adams"/>
    <x v="1"/>
    <x v="2"/>
    <n v="38678"/>
    <d v="2017-07-16T00:00:00"/>
    <n v="3"/>
    <x v="1"/>
    <s v="user188@example.com"/>
    <n v="8"/>
    <s v="user188@example.com"/>
  </r>
  <r>
    <s v="EMP1133"/>
    <s v="Chris Lee"/>
    <x v="1"/>
    <x v="1"/>
    <n v="45758"/>
    <d v="2017-07-23T00:00:00"/>
    <n v="3"/>
    <x v="0"/>
    <s v="user44@example.com"/>
    <n v="1"/>
    <s v="user44@example.com"/>
  </r>
  <r>
    <s v="EMP1134"/>
    <s v="Eve Adams"/>
    <x v="4"/>
    <x v="3"/>
    <n v="62476"/>
    <d v="2017-07-30T00:00:00"/>
    <n v="1"/>
    <x v="1"/>
    <s v="user63@example.com"/>
    <n v="25"/>
    <s v="user63@example.com"/>
  </r>
  <r>
    <s v="EMP1135"/>
    <s v="Unknown"/>
    <x v="3"/>
    <x v="4"/>
    <n v="39280"/>
    <d v="2017-08-06T00:00:00"/>
    <n v="3"/>
    <x v="3"/>
    <s v="user198@example.com"/>
    <n v="18"/>
    <s v="user198@example.com"/>
  </r>
  <r>
    <s v="EMP1136"/>
    <s v="Jane Smith"/>
    <x v="0"/>
    <x v="3"/>
    <n v="60335"/>
    <d v="2017-08-13T00:00:00"/>
    <n v="4"/>
    <x v="1"/>
    <s v="user59@example.com"/>
    <n v="11"/>
    <s v="user59@example.com"/>
  </r>
  <r>
    <s v="EMP1137"/>
    <s v="Chris Lee"/>
    <x v="1"/>
    <x v="1"/>
    <n v="84968"/>
    <d v="2017-08-20T00:00:00"/>
    <n v="3"/>
    <x v="0"/>
    <s v="user165@example.com"/>
    <n v="4"/>
    <s v="user165@example.com"/>
  </r>
  <r>
    <s v="EMP1138"/>
    <s v="Chris Lee"/>
    <x v="4"/>
    <x v="5"/>
    <n v="84750"/>
    <d v="2017-08-27T00:00:00"/>
    <n v="4"/>
    <x v="3"/>
    <s v="user3@example.com"/>
    <n v="28"/>
    <s v="user3@example.com"/>
  </r>
  <r>
    <s v="EMP1139"/>
    <s v="Bob Johnson"/>
    <x v="3"/>
    <x v="0"/>
    <n v="73348"/>
    <d v="2017-09-03T00:00:00"/>
    <n v="2"/>
    <x v="0"/>
    <s v="user22@example.com"/>
    <n v="21"/>
    <s v="user22@example.com"/>
  </r>
  <r>
    <s v="EMP1140"/>
    <s v="Chris Lee"/>
    <x v="2"/>
    <x v="2"/>
    <n v="67929"/>
    <d v="2017-09-10T00:00:00"/>
    <n v="4"/>
    <x v="1"/>
    <s v="invalid_email"/>
    <n v="14"/>
    <s v="unknown"/>
  </r>
  <r>
    <s v="EMP1141"/>
    <s v="Jane Smith"/>
    <x v="4"/>
    <x v="2"/>
    <n v="66882"/>
    <d v="2017-09-17T00:00:00"/>
    <n v="5"/>
    <x v="1"/>
    <s v="user103@example.com"/>
    <n v="7"/>
    <s v="user103@example.com"/>
  </r>
  <r>
    <s v="EMP1142"/>
    <s v="Alice Brown"/>
    <x v="4"/>
    <x v="0"/>
    <n v="86775"/>
    <d v="2017-09-24T00:00:00"/>
    <n v="3"/>
    <x v="1"/>
    <s v="user190@example.com"/>
    <n v="0"/>
    <s v="user190@example.com"/>
  </r>
  <r>
    <s v="EMP1143"/>
    <s v="Chris Lee"/>
    <x v="2"/>
    <x v="4"/>
    <n v="91620"/>
    <d v="2017-10-01T00:00:00"/>
    <n v="3"/>
    <x v="0"/>
    <s v="user114@example.com"/>
    <n v="23"/>
    <s v="user114@example.com"/>
  </r>
  <r>
    <s v="EMP1144"/>
    <s v="Eve Adams"/>
    <x v="5"/>
    <x v="0"/>
    <n v="94148"/>
    <d v="2017-10-08T00:00:00"/>
    <n v="2"/>
    <x v="0"/>
    <s v="user53@example.com"/>
    <n v="16"/>
    <s v="user53@example.com"/>
  </r>
  <r>
    <s v="EMP1145"/>
    <s v="Sam Wilson"/>
    <x v="2"/>
    <x v="5"/>
    <n v="35627"/>
    <d v="2017-10-15T00:00:00"/>
    <n v="5"/>
    <x v="3"/>
    <s v="user188@example.com"/>
    <n v="9"/>
    <s v="user188@example.com"/>
  </r>
  <r>
    <s v="EMP1146"/>
    <s v="John Doe"/>
    <x v="4"/>
    <x v="2"/>
    <n v="57141"/>
    <d v="2017-10-22T00:00:00"/>
    <n v="2"/>
    <x v="0"/>
    <s v="user165@example.com"/>
    <n v="2"/>
    <s v="user165@example.com"/>
  </r>
  <r>
    <s v="EMP1147"/>
    <s v="Bob Johnson"/>
    <x v="2"/>
    <x v="5"/>
    <n v="65270"/>
    <d v="2017-10-29T00:00:00"/>
    <n v="1"/>
    <x v="0"/>
    <s v="user163@example.com"/>
    <n v="26"/>
    <s v="user163@example.com"/>
  </r>
  <r>
    <s v="EMP1148"/>
    <s v="Bob Johnson"/>
    <x v="5"/>
    <x v="4"/>
    <n v="67335"/>
    <d v="2017-11-05T00:00:00"/>
    <n v="1"/>
    <x v="1"/>
    <s v="user112@example.com"/>
    <n v="19"/>
    <s v="user112@example.com"/>
  </r>
  <r>
    <s v="EMP1149"/>
    <s v="Sam Wilson"/>
    <x v="4"/>
    <x v="3"/>
    <n v="98475"/>
    <d v="2017-11-12T00:00:00"/>
    <n v="5"/>
    <x v="1"/>
    <s v="user30@example.com"/>
    <n v="12"/>
    <s v="user30@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x v="0"/>
    <s v="unknown"/>
    <n v="65605"/>
    <s v="Unknown"/>
    <n v="2"/>
    <s v="Unknown"/>
    <s v="invalid_email"/>
    <n v="0"/>
    <s v="unknown"/>
  </r>
  <r>
    <x v="1"/>
    <s v="Eve Adams"/>
    <x v="1"/>
    <s v="germany"/>
    <n v="54255"/>
    <d v="2015-01-11T00:00:00"/>
    <n v="1"/>
    <s v="Other"/>
    <s v="user106@example.com"/>
    <n v="13"/>
    <s v="user106@example.com"/>
  </r>
  <r>
    <x v="2"/>
    <s v="Alice Brown"/>
    <x v="0"/>
    <s v="germany"/>
    <n v="63184"/>
    <d v="2015-01-18T00:00:00"/>
    <n v="2"/>
    <s v="Unknown"/>
    <s v="user176@example.com"/>
    <n v="6"/>
    <s v="user176@example.com"/>
  </r>
  <r>
    <x v="3"/>
    <s v="John Doe"/>
    <x v="2"/>
    <s v="usa"/>
    <n v="94406"/>
    <d v="2015-01-25T00:00:00"/>
    <n v="1"/>
    <s v="Male"/>
    <s v="user168@example.com"/>
    <n v="30"/>
    <s v="user168@example.com"/>
  </r>
  <r>
    <x v="4"/>
    <s v="Jane Smith"/>
    <x v="2"/>
    <s v="germany"/>
    <n v="64120"/>
    <d v="2015-02-01T00:00:00"/>
    <n v="1"/>
    <s v="Male"/>
    <s v="user49@example.com"/>
    <n v="23"/>
    <s v="user49@example.com"/>
  </r>
  <r>
    <x v="5"/>
    <s v="Alice Brown"/>
    <x v="3"/>
    <s v="india"/>
    <n v="78421"/>
    <d v="2015-02-08T00:00:00"/>
    <n v="2"/>
    <s v="Female"/>
    <s v="user24@example.com"/>
    <n v="16"/>
    <s v="user24@example.com"/>
  </r>
  <r>
    <x v="6"/>
    <s v="Sam Wilson"/>
    <x v="2"/>
    <s v="unknown"/>
    <n v="67721"/>
    <d v="2015-02-15T00:00:00"/>
    <n v="3"/>
    <s v="Male"/>
    <s v="user168@example.com"/>
    <n v="9"/>
    <s v="user168@example.com"/>
  </r>
  <r>
    <x v="7"/>
    <s v="Chris Lee"/>
    <x v="4"/>
    <s v="unknown"/>
    <n v="35364"/>
    <d v="2015-02-22T00:00:00"/>
    <n v="2"/>
    <s v="Other"/>
    <s v="user26@example.com"/>
    <n v="2"/>
    <s v="user26@example.com"/>
  </r>
  <r>
    <x v="8"/>
    <s v="Alice Brown"/>
    <x v="3"/>
    <s v="germany"/>
    <n v="97881"/>
    <d v="2015-03-01T00:00:00"/>
    <n v="3"/>
    <s v="Female"/>
    <s v="user25@example.com"/>
    <n v="23"/>
    <s v="user25@example.com"/>
  </r>
  <r>
    <x v="9"/>
    <s v="Chris Lee"/>
    <x v="1"/>
    <s v="uk"/>
    <n v="91846"/>
    <d v="2015-03-08T00:00:00"/>
    <n v="3"/>
    <s v="Male"/>
    <s v="user153@example.com"/>
    <n v="16"/>
    <s v="user153@example.com"/>
  </r>
  <r>
    <x v="10"/>
    <s v="Sam Wilson"/>
    <x v="0"/>
    <s v="uk"/>
    <n v="64247"/>
    <d v="2015-03-15T00:00:00"/>
    <n v="1"/>
    <s v="Female"/>
    <s v="user18@example.com"/>
    <n v="9"/>
    <s v="user18@example.com"/>
  </r>
  <r>
    <x v="11"/>
    <s v="Sam Wilson"/>
    <x v="3"/>
    <s v="usa"/>
    <n v="91180"/>
    <d v="2015-03-22T00:00:00"/>
    <n v="5"/>
    <s v="Male"/>
    <s v="user1@example.com"/>
    <n v="2"/>
    <s v="user1@example.com"/>
  </r>
  <r>
    <x v="12"/>
    <s v="Bob Johnson"/>
    <x v="2"/>
    <s v="unknown"/>
    <n v="96418"/>
    <d v="2015-03-29T00:00:00"/>
    <n v="5"/>
    <s v="Male"/>
    <s v="user106@example.com"/>
    <n v="26"/>
    <s v="user106@example.com"/>
  </r>
  <r>
    <x v="13"/>
    <s v="Sam Wilson"/>
    <x v="5"/>
    <s v="india"/>
    <n v="62158"/>
    <d v="2015-04-05T00:00:00"/>
    <n v="4"/>
    <s v="Unknown"/>
    <s v="user180@example.com"/>
    <n v="19"/>
    <s v="user180@example.com"/>
  </r>
  <r>
    <x v="14"/>
    <s v="Jane Smith"/>
    <x v="1"/>
    <s v="unknown"/>
    <n v="59894"/>
    <d v="2015-04-12T00:00:00"/>
    <n v="2"/>
    <s v="Male"/>
    <s v="user184@example.com"/>
    <n v="12"/>
    <s v="user184@example.com"/>
  </r>
  <r>
    <x v="15"/>
    <s v="Unknown"/>
    <x v="3"/>
    <s v="india"/>
    <n v="92443"/>
    <d v="2015-04-19T00:00:00"/>
    <n v="3"/>
    <s v="Other"/>
    <s v="user3@example.com"/>
    <n v="5"/>
    <s v="user3@example.com"/>
  </r>
  <r>
    <x v="16"/>
    <s v="Bob Johnson"/>
    <x v="5"/>
    <s v="germany"/>
    <n v="90271"/>
    <d v="2015-04-26T00:00:00"/>
    <n v="3"/>
    <s v="Unknown"/>
    <s v="user64@example.com"/>
    <n v="29"/>
    <s v="user64@example.com"/>
  </r>
  <r>
    <x v="17"/>
    <s v="Jane Smith"/>
    <x v="0"/>
    <s v="australia"/>
    <n v="41341"/>
    <d v="2015-05-03T00:00:00"/>
    <n v="1"/>
    <s v="Other"/>
    <s v="user38@example.com"/>
    <n v="21"/>
    <s v="user38@example.com"/>
  </r>
  <r>
    <x v="18"/>
    <s v="Alice Brown"/>
    <x v="0"/>
    <s v="uk"/>
    <n v="73602"/>
    <d v="2015-05-10T00:00:00"/>
    <n v="3"/>
    <s v="Unknown"/>
    <s v="user96@example.com"/>
    <n v="14"/>
    <s v="user96@example.com"/>
  </r>
  <r>
    <x v="19"/>
    <s v="Eve Adams"/>
    <x v="5"/>
    <s v="india"/>
    <n v="67531"/>
    <d v="2015-05-17T00:00:00"/>
    <n v="5"/>
    <s v="Female"/>
    <s v="user151@example.com"/>
    <n v="7"/>
    <s v="user151@example.com"/>
  </r>
  <r>
    <x v="20"/>
    <s v="Jane Smith"/>
    <x v="1"/>
    <s v="usa"/>
    <n v="67835"/>
    <d v="2015-05-24T00:00:00"/>
    <n v="2"/>
    <s v="Other"/>
    <s v="user200@example.com"/>
    <n v="0"/>
    <s v="user200@example.com"/>
  </r>
  <r>
    <x v="21"/>
    <s v="Jane Smith"/>
    <x v="1"/>
    <s v="unknown"/>
    <n v="98922"/>
    <d v="2015-05-31T00:00:00"/>
    <n v="4"/>
    <s v="Unknown"/>
    <s v="user77@example.com"/>
    <n v="24"/>
    <s v="user77@example.com"/>
  </r>
  <r>
    <x v="22"/>
    <s v="Eve Adams"/>
    <x v="0"/>
    <s v="india"/>
    <n v="38333"/>
    <d v="2015-06-07T00:00:00"/>
    <n v="5"/>
    <s v="Unknown"/>
    <s v="user128@example.com"/>
    <n v="17"/>
    <s v="user128@example.com"/>
  </r>
  <r>
    <x v="23"/>
    <s v="Alice Brown"/>
    <x v="4"/>
    <s v="uk"/>
    <n v="36515"/>
    <d v="2015-06-14T00:00:00"/>
    <n v="3"/>
    <s v="Male"/>
    <s v="user149@example.com"/>
    <n v="10"/>
    <s v="user149@example.com"/>
  </r>
  <r>
    <x v="24"/>
    <s v="Sam Wilson"/>
    <x v="0"/>
    <s v="unknown"/>
    <n v="91005"/>
    <d v="2015-06-21T00:00:00"/>
    <n v="1"/>
    <s v="Other"/>
    <s v="user122@example.com"/>
    <n v="3"/>
    <s v="user122@example.com"/>
  </r>
  <r>
    <x v="25"/>
    <s v="Chris Lee"/>
    <x v="5"/>
    <s v="unknown"/>
    <n v="52272"/>
    <d v="2015-06-28T00:00:00"/>
    <n v="3"/>
    <s v="Unknown"/>
    <s v="user41@example.com"/>
    <n v="27"/>
    <s v="user41@example.com"/>
  </r>
  <r>
    <x v="26"/>
    <s v="Eve Adams"/>
    <x v="2"/>
    <s v="germany"/>
    <n v="76518"/>
    <d v="2015-07-05T00:00:00"/>
    <n v="2"/>
    <s v="Female"/>
    <s v="user68@example.com"/>
    <n v="19"/>
    <s v="user68@example.com"/>
  </r>
  <r>
    <x v="27"/>
    <s v="Alice Brown"/>
    <x v="3"/>
    <s v="uk"/>
    <n v="41448"/>
    <d v="2015-07-12T00:00:00"/>
    <n v="3"/>
    <s v="Other"/>
    <s v="user103@example.com"/>
    <n v="12"/>
    <s v="user103@example.com"/>
  </r>
  <r>
    <x v="28"/>
    <s v="John Doe"/>
    <x v="1"/>
    <s v="uk"/>
    <n v="49282"/>
    <d v="2015-07-19T00:00:00"/>
    <n v="2"/>
    <s v="Female"/>
    <s v="user135@example.com"/>
    <n v="5"/>
    <s v="user135@example.com"/>
  </r>
  <r>
    <x v="29"/>
    <s v="Bob Johnson"/>
    <x v="4"/>
    <s v="uk"/>
    <n v="92959"/>
    <d v="2015-07-26T00:00:00"/>
    <n v="5"/>
    <s v="Unknown"/>
    <s v="user83@example.com"/>
    <n v="29"/>
    <s v="user83@example.com"/>
  </r>
  <r>
    <x v="30"/>
    <s v="Unknown"/>
    <x v="4"/>
    <s v="unknown"/>
    <n v="92259"/>
    <s v="Unknown"/>
    <n v="1"/>
    <s v="Unknown"/>
    <s v="user109@example.com"/>
    <n v="0"/>
    <s v="user109@example.com"/>
  </r>
  <r>
    <x v="31"/>
    <s v="Eve Adams"/>
    <x v="1"/>
    <s v="germany"/>
    <n v="92299"/>
    <d v="2015-08-09T00:00:00"/>
    <n v="3"/>
    <s v="Male"/>
    <s v="user143@example.com"/>
    <n v="15"/>
    <s v="user143@example.com"/>
  </r>
  <r>
    <x v="32"/>
    <s v="Sam Wilson"/>
    <x v="1"/>
    <s v="unknown"/>
    <n v="95586"/>
    <d v="2015-08-16T00:00:00"/>
    <n v="3"/>
    <s v="Other"/>
    <s v="user190@example.com"/>
    <n v="8"/>
    <s v="user190@example.com"/>
  </r>
  <r>
    <x v="33"/>
    <s v="Chris Lee"/>
    <x v="5"/>
    <s v="usa"/>
    <n v="95367"/>
    <d v="2015-08-23T00:00:00"/>
    <n v="3"/>
    <s v="Male"/>
    <s v="user136@example.com"/>
    <n v="1"/>
    <s v="user136@example.com"/>
  </r>
  <r>
    <x v="34"/>
    <s v="John Doe"/>
    <x v="2"/>
    <s v="australia"/>
    <n v="79549"/>
    <d v="2015-08-30T00:00:00"/>
    <n v="3"/>
    <s v="Unknown"/>
    <s v="user198@example.com"/>
    <n v="25"/>
    <s v="user198@example.com"/>
  </r>
  <r>
    <x v="35"/>
    <s v="Alice Brown"/>
    <x v="5"/>
    <s v="uk"/>
    <n v="54463"/>
    <d v="2015-09-06T00:00:00"/>
    <n v="4"/>
    <s v="Male"/>
    <s v="invalid_email"/>
    <n v="18"/>
    <s v="unknown"/>
  </r>
  <r>
    <x v="36"/>
    <s v="Alice Brown"/>
    <x v="3"/>
    <s v="usa"/>
    <n v="89781"/>
    <d v="2015-09-13T00:00:00"/>
    <n v="3"/>
    <s v="Female"/>
    <s v="user31@example.com"/>
    <n v="11"/>
    <s v="user31@example.com"/>
  </r>
  <r>
    <x v="37"/>
    <s v="Alice Brown"/>
    <x v="1"/>
    <s v="unknown"/>
    <n v="64796"/>
    <d v="2015-09-20T00:00:00"/>
    <n v="3"/>
    <s v="Other"/>
    <s v="user98@example.com"/>
    <n v="4"/>
    <s v="user98@example.com"/>
  </r>
  <r>
    <x v="38"/>
    <s v="John Doe"/>
    <x v="4"/>
    <s v="uk"/>
    <n v="52093"/>
    <d v="2015-09-27T00:00:00"/>
    <n v="5"/>
    <s v="Unknown"/>
    <s v="user154@example.com"/>
    <n v="28"/>
    <s v="user154@example.com"/>
  </r>
  <r>
    <x v="39"/>
    <s v="Chris Lee"/>
    <x v="1"/>
    <s v="uk"/>
    <n v="48224"/>
    <d v="2015-10-04T00:00:00"/>
    <n v="3"/>
    <s v="Unknown"/>
    <s v="user42@example.com"/>
    <n v="20"/>
    <s v="user42@example.com"/>
  </r>
  <r>
    <x v="40"/>
    <s v="Bob Johnson"/>
    <x v="0"/>
    <s v="uk"/>
    <n v="65605"/>
    <s v="Unknown"/>
    <n v="4"/>
    <s v="Female"/>
    <s v="user89@example.com"/>
    <n v="0"/>
    <s v="user89@example.com"/>
  </r>
  <r>
    <x v="41"/>
    <s v="Alice Brown"/>
    <x v="3"/>
    <s v="germany"/>
    <n v="33956"/>
    <d v="2015-10-18T00:00:00"/>
    <n v="3"/>
    <s v="Unknown"/>
    <s v="user47@example.com"/>
    <n v="6"/>
    <s v="user47@example.com"/>
  </r>
  <r>
    <x v="42"/>
    <s v="Bob Johnson"/>
    <x v="5"/>
    <s v="australia"/>
    <n v="64913"/>
    <d v="2015-10-25T00:00:00"/>
    <n v="1"/>
    <s v="Female"/>
    <s v="user175@example.com"/>
    <n v="30"/>
    <s v="user175@example.com"/>
  </r>
  <r>
    <x v="43"/>
    <s v="Alice Brown"/>
    <x v="4"/>
    <s v="australia"/>
    <n v="35326"/>
    <d v="2015-11-01T00:00:00"/>
    <n v="3"/>
    <s v="Female"/>
    <s v="user57@example.com"/>
    <n v="23"/>
    <s v="user57@example.com"/>
  </r>
  <r>
    <x v="44"/>
    <s v="Chris Lee"/>
    <x v="0"/>
    <s v="unknown"/>
    <n v="81610"/>
    <d v="2015-11-08T00:00:00"/>
    <n v="1"/>
    <s v="Unknown"/>
    <s v="user20@example.com"/>
    <n v="16"/>
    <s v="user20@example.com"/>
  </r>
  <r>
    <x v="45"/>
    <s v="Unknown"/>
    <x v="1"/>
    <s v="unknown"/>
    <n v="58962"/>
    <d v="2015-11-15T00:00:00"/>
    <n v="3"/>
    <s v="Other"/>
    <s v="user106@example.com"/>
    <n v="9"/>
    <s v="user106@example.com"/>
  </r>
  <r>
    <x v="46"/>
    <s v="Chris Lee"/>
    <x v="3"/>
    <s v="germany"/>
    <n v="92701"/>
    <d v="2015-11-22T00:00:00"/>
    <n v="3"/>
    <s v="Other"/>
    <s v="user199@example.com"/>
    <n v="2"/>
    <s v="user199@example.com"/>
  </r>
  <r>
    <x v="47"/>
    <s v="Chris Lee"/>
    <x v="1"/>
    <s v="india"/>
    <n v="58245"/>
    <d v="2015-11-29T00:00:00"/>
    <n v="4"/>
    <s v="Unknown"/>
    <s v="user43@example.com"/>
    <n v="26"/>
    <s v="user43@example.com"/>
  </r>
  <r>
    <x v="48"/>
    <s v="John Doe"/>
    <x v="0"/>
    <s v="unknown"/>
    <n v="66513"/>
    <d v="2015-12-06T00:00:00"/>
    <n v="2"/>
    <s v="Other"/>
    <s v="user24@example.com"/>
    <n v="18"/>
    <s v="user24@example.com"/>
  </r>
  <r>
    <x v="49"/>
    <s v="Eve Adams"/>
    <x v="1"/>
    <s v="germany"/>
    <n v="78720"/>
    <d v="2015-12-13T00:00:00"/>
    <n v="5"/>
    <s v="Female"/>
    <s v="user89@example.com"/>
    <n v="11"/>
    <s v="user89@example.com"/>
  </r>
  <r>
    <x v="50"/>
    <s v="Chris Lee"/>
    <x v="5"/>
    <s v="unknown"/>
    <n v="30686"/>
    <s v="Unknown"/>
    <n v="2"/>
    <s v="Female"/>
    <s v="user95@example.com"/>
    <n v="0"/>
    <s v="user95@example.com"/>
  </r>
  <r>
    <x v="51"/>
    <s v="Sam Wilson"/>
    <x v="2"/>
    <s v="india"/>
    <n v="39423"/>
    <d v="2015-12-27T00:00:00"/>
    <n v="5"/>
    <s v="Unknown"/>
    <s v="user59@example.com"/>
    <n v="28"/>
    <s v="user59@example.com"/>
  </r>
  <r>
    <x v="52"/>
    <s v="Eve Adams"/>
    <x v="4"/>
    <s v="unknown"/>
    <n v="30280"/>
    <d v="2016-01-03T00:00:00"/>
    <n v="1"/>
    <s v="Unknown"/>
    <s v="user152@example.com"/>
    <n v="21"/>
    <s v="user152@example.com"/>
  </r>
  <r>
    <x v="53"/>
    <s v="Eve Adams"/>
    <x v="0"/>
    <s v="uk"/>
    <n v="33352"/>
    <d v="2016-01-10T00:00:00"/>
    <n v="3"/>
    <s v="Female"/>
    <s v="user200@example.com"/>
    <n v="14"/>
    <s v="user200@example.com"/>
  </r>
  <r>
    <x v="54"/>
    <s v="Bob Johnson"/>
    <x v="4"/>
    <s v="uk"/>
    <n v="75633"/>
    <d v="2016-01-17T00:00:00"/>
    <n v="5"/>
    <s v="Other"/>
    <s v="user92@example.com"/>
    <n v="7"/>
    <s v="user92@example.com"/>
  </r>
  <r>
    <x v="55"/>
    <s v="Chris Lee"/>
    <x v="5"/>
    <s v="usa"/>
    <n v="74815"/>
    <d v="2016-01-24T00:00:00"/>
    <n v="5"/>
    <s v="Female"/>
    <s v="user50@example.com"/>
    <n v="0"/>
    <s v="user50@example.com"/>
  </r>
  <r>
    <x v="56"/>
    <s v="John Doe"/>
    <x v="2"/>
    <s v="australia"/>
    <n v="60011"/>
    <d v="2016-01-31T00:00:00"/>
    <n v="1"/>
    <s v="Male"/>
    <s v="user63@example.com"/>
    <n v="24"/>
    <s v="user63@example.com"/>
  </r>
  <r>
    <x v="57"/>
    <s v="Eve Adams"/>
    <x v="5"/>
    <s v="india"/>
    <n v="96949"/>
    <d v="2016-02-07T00:00:00"/>
    <n v="3"/>
    <s v="Unknown"/>
    <s v="user103@example.com"/>
    <n v="17"/>
    <s v="user103@example.com"/>
  </r>
  <r>
    <x v="58"/>
    <s v="Sam Wilson"/>
    <x v="4"/>
    <s v="unknown"/>
    <n v="84924"/>
    <d v="2016-02-14T00:00:00"/>
    <n v="5"/>
    <s v="Male"/>
    <s v="user150@example.com"/>
    <n v="10"/>
    <s v="user150@example.com"/>
  </r>
  <r>
    <x v="59"/>
    <s v="Sam Wilson"/>
    <x v="0"/>
    <s v="usa"/>
    <n v="82033"/>
    <d v="2016-02-21T00:00:00"/>
    <n v="1"/>
    <s v="Unknown"/>
    <s v="user20@example.com"/>
    <n v="3"/>
    <s v="user20@example.com"/>
  </r>
  <r>
    <x v="60"/>
    <s v="Unknown"/>
    <x v="4"/>
    <s v="germany"/>
    <n v="63687"/>
    <s v="Unknown"/>
    <n v="5"/>
    <s v="Unknown"/>
    <s v="user112@example.com"/>
    <n v="0"/>
    <s v="user112@example.com"/>
  </r>
  <r>
    <x v="61"/>
    <s v="Eve Adams"/>
    <x v="5"/>
    <s v="australia"/>
    <n v="31499"/>
    <d v="2016-03-06T00:00:00"/>
    <n v="2"/>
    <s v="Unknown"/>
    <s v="user31@example.com"/>
    <n v="18"/>
    <s v="user31@example.com"/>
  </r>
  <r>
    <x v="62"/>
    <s v="Chris Lee"/>
    <x v="3"/>
    <s v="uk"/>
    <n v="97981"/>
    <d v="2016-03-13T00:00:00"/>
    <n v="5"/>
    <s v="Female"/>
    <s v="user71@example.com"/>
    <n v="11"/>
    <s v="user71@example.com"/>
  </r>
  <r>
    <x v="63"/>
    <s v="Eve Adams"/>
    <x v="1"/>
    <s v="usa"/>
    <n v="36541"/>
    <d v="2016-03-20T00:00:00"/>
    <n v="2"/>
    <s v="Other"/>
    <s v="user97@example.com"/>
    <n v="4"/>
    <s v="user97@example.com"/>
  </r>
  <r>
    <x v="64"/>
    <s v="John Doe"/>
    <x v="3"/>
    <s v="india"/>
    <n v="84737"/>
    <d v="2016-03-27T00:00:00"/>
    <n v="1"/>
    <s v="Male"/>
    <s v="user141@example.com"/>
    <n v="28"/>
    <s v="user141@example.com"/>
  </r>
  <r>
    <x v="65"/>
    <s v="Sam Wilson"/>
    <x v="0"/>
    <s v="india"/>
    <n v="33468"/>
    <d v="2016-04-03T00:00:00"/>
    <n v="4"/>
    <s v="Male"/>
    <s v="user125@example.com"/>
    <n v="21"/>
    <s v="user125@example.com"/>
  </r>
  <r>
    <x v="66"/>
    <s v="Sam Wilson"/>
    <x v="5"/>
    <s v="australia"/>
    <n v="96365"/>
    <d v="2016-04-10T00:00:00"/>
    <n v="3"/>
    <s v="Other"/>
    <s v="user90@example.com"/>
    <n v="14"/>
    <s v="user90@example.com"/>
  </r>
  <r>
    <x v="67"/>
    <s v="Alice Brown"/>
    <x v="2"/>
    <s v="india"/>
    <n v="61942"/>
    <d v="2016-04-17T00:00:00"/>
    <n v="3"/>
    <s v="Female"/>
    <s v="user192@example.com"/>
    <n v="7"/>
    <s v="user192@example.com"/>
  </r>
  <r>
    <x v="68"/>
    <s v="Sam Wilson"/>
    <x v="0"/>
    <s v="uk"/>
    <n v="41467"/>
    <d v="2016-04-24T00:00:00"/>
    <n v="2"/>
    <s v="Unknown"/>
    <s v="user77@example.com"/>
    <n v="0"/>
    <s v="user77@example.com"/>
  </r>
  <r>
    <x v="69"/>
    <s v="Bob Johnson"/>
    <x v="0"/>
    <s v="india"/>
    <n v="77096"/>
    <d v="2016-05-01T00:00:00"/>
    <n v="1"/>
    <s v="Unknown"/>
    <s v="user65@example.com"/>
    <n v="23"/>
    <s v="user65@example.com"/>
  </r>
  <r>
    <x v="70"/>
    <s v="Eve Adams"/>
    <x v="2"/>
    <s v="australia"/>
    <n v="69952"/>
    <d v="2016-05-08T00:00:00"/>
    <n v="5"/>
    <s v="Female"/>
    <s v="invalid_email"/>
    <n v="16"/>
    <s v="unknown"/>
  </r>
  <r>
    <x v="71"/>
    <s v="Eve Adams"/>
    <x v="4"/>
    <s v="usa"/>
    <n v="85065"/>
    <d v="2016-05-15T00:00:00"/>
    <n v="3"/>
    <s v="Unknown"/>
    <s v="user142@example.com"/>
    <n v="9"/>
    <s v="user142@example.com"/>
  </r>
  <r>
    <x v="72"/>
    <s v="Bob Johnson"/>
    <x v="4"/>
    <s v="india"/>
    <n v="56512"/>
    <d v="2016-05-22T00:00:00"/>
    <n v="3"/>
    <s v="Other"/>
    <s v="user153@example.com"/>
    <n v="2"/>
    <s v="user153@example.com"/>
  </r>
  <r>
    <x v="73"/>
    <s v="John Doe"/>
    <x v="2"/>
    <s v="india"/>
    <n v="91101"/>
    <d v="2016-05-29T00:00:00"/>
    <n v="4"/>
    <s v="Female"/>
    <s v="user71@example.com"/>
    <n v="26"/>
    <s v="user71@example.com"/>
  </r>
  <r>
    <x v="74"/>
    <s v="Sam Wilson"/>
    <x v="5"/>
    <s v="germany"/>
    <n v="41243"/>
    <d v="2016-06-05T00:00:00"/>
    <n v="3"/>
    <s v="Unknown"/>
    <s v="user143@example.com"/>
    <n v="19"/>
    <s v="user143@example.com"/>
  </r>
  <r>
    <x v="75"/>
    <s v="Unknown"/>
    <x v="2"/>
    <s v="unknown"/>
    <n v="96142"/>
    <d v="2016-06-12T00:00:00"/>
    <n v="1"/>
    <s v="Other"/>
    <s v="user17@example.com"/>
    <n v="12"/>
    <s v="user17@example.com"/>
  </r>
  <r>
    <x v="76"/>
    <s v="Eve Adams"/>
    <x v="3"/>
    <s v="india"/>
    <n v="94301"/>
    <d v="2016-06-19T00:00:00"/>
    <n v="1"/>
    <s v="Male"/>
    <s v="user20@example.com"/>
    <n v="5"/>
    <s v="user20@example.com"/>
  </r>
  <r>
    <x v="77"/>
    <s v="Jane Smith"/>
    <x v="5"/>
    <s v="uk"/>
    <n v="69166"/>
    <d v="2016-06-26T00:00:00"/>
    <n v="1"/>
    <s v="Female"/>
    <s v="user22@example.com"/>
    <n v="29"/>
    <s v="user22@example.com"/>
  </r>
  <r>
    <x v="78"/>
    <s v="Sam Wilson"/>
    <x v="5"/>
    <s v="uk"/>
    <n v="78245"/>
    <d v="2016-07-03T00:00:00"/>
    <n v="2"/>
    <s v="Unknown"/>
    <s v="user46@example.com"/>
    <n v="21"/>
    <s v="user46@example.com"/>
  </r>
  <r>
    <x v="79"/>
    <s v="Chris Lee"/>
    <x v="2"/>
    <s v="usa"/>
    <n v="66079"/>
    <d v="2016-07-10T00:00:00"/>
    <n v="2"/>
    <s v="Other"/>
    <s v="user55@example.com"/>
    <n v="14"/>
    <s v="user55@example.com"/>
  </r>
  <r>
    <x v="80"/>
    <s v="Eve Adams"/>
    <x v="4"/>
    <s v="india"/>
    <n v="63687"/>
    <s v="Unknown"/>
    <n v="3"/>
    <s v="Unknown"/>
    <s v="user135@example.com"/>
    <n v="0"/>
    <s v="user135@example.com"/>
  </r>
  <r>
    <x v="81"/>
    <s v="Jane Smith"/>
    <x v="2"/>
    <s v="usa"/>
    <n v="95621"/>
    <d v="2016-07-24T00:00:00"/>
    <n v="3"/>
    <s v="Female"/>
    <s v="user156@example.com"/>
    <n v="0"/>
    <s v="user156@example.com"/>
  </r>
  <r>
    <x v="82"/>
    <s v="Eve Adams"/>
    <x v="3"/>
    <s v="uk"/>
    <n v="42262"/>
    <d v="2016-07-31T00:00:00"/>
    <n v="1"/>
    <s v="Unknown"/>
    <s v="user104@example.com"/>
    <n v="24"/>
    <s v="user104@example.com"/>
  </r>
  <r>
    <x v="83"/>
    <s v="Sam Wilson"/>
    <x v="2"/>
    <s v="india"/>
    <n v="99621"/>
    <d v="2016-08-07T00:00:00"/>
    <n v="3"/>
    <s v="Other"/>
    <s v="user145@example.com"/>
    <n v="17"/>
    <s v="user145@example.com"/>
  </r>
  <r>
    <x v="84"/>
    <s v="John Doe"/>
    <x v="4"/>
    <s v="india"/>
    <n v="44682"/>
    <d v="2016-08-14T00:00:00"/>
    <n v="4"/>
    <s v="Female"/>
    <s v="user47@example.com"/>
    <n v="10"/>
    <s v="user47@example.com"/>
  </r>
  <r>
    <x v="85"/>
    <s v="Chris Lee"/>
    <x v="0"/>
    <s v="unknown"/>
    <n v="35163"/>
    <d v="2016-08-21T00:00:00"/>
    <n v="5"/>
    <s v="Other"/>
    <s v="user197@example.com"/>
    <n v="3"/>
    <s v="user197@example.com"/>
  </r>
  <r>
    <x v="86"/>
    <s v="Chris Lee"/>
    <x v="3"/>
    <s v="india"/>
    <n v="33483"/>
    <d v="2016-08-28T00:00:00"/>
    <n v="4"/>
    <s v="Male"/>
    <s v="user177@example.com"/>
    <n v="27"/>
    <s v="user177@example.com"/>
  </r>
  <r>
    <x v="87"/>
    <s v="Sam Wilson"/>
    <x v="1"/>
    <s v="germany"/>
    <n v="55303"/>
    <d v="2016-09-04T00:00:00"/>
    <n v="4"/>
    <s v="Male"/>
    <s v="user149@example.com"/>
    <n v="20"/>
    <s v="user149@example.com"/>
  </r>
  <r>
    <x v="88"/>
    <s v="Chris Lee"/>
    <x v="3"/>
    <s v="unknown"/>
    <n v="63434"/>
    <d v="2016-09-11T00:00:00"/>
    <n v="3"/>
    <s v="Unknown"/>
    <s v="user48@example.com"/>
    <n v="13"/>
    <s v="user48@example.com"/>
  </r>
  <r>
    <x v="89"/>
    <s v="Jane Smith"/>
    <x v="5"/>
    <s v="australia"/>
    <n v="38830"/>
    <d v="2016-09-18T00:00:00"/>
    <n v="3"/>
    <s v="Other"/>
    <s v="user149@example.com"/>
    <n v="6"/>
    <s v="user149@example.com"/>
  </r>
  <r>
    <x v="90"/>
    <s v="Unknown"/>
    <x v="4"/>
    <s v="uk"/>
    <n v="50741"/>
    <d v="2016-09-25T00:00:00"/>
    <n v="3"/>
    <s v="Unknown"/>
    <s v="user65@example.com"/>
    <n v="30"/>
    <s v="user65@example.com"/>
  </r>
  <r>
    <x v="91"/>
    <s v="Alice Brown"/>
    <x v="1"/>
    <s v="australia"/>
    <n v="69420"/>
    <d v="2016-10-02T00:00:00"/>
    <n v="1"/>
    <s v="Male"/>
    <s v="user43@example.com"/>
    <n v="22"/>
    <s v="user43@example.com"/>
  </r>
  <r>
    <x v="92"/>
    <s v="Jane Smith"/>
    <x v="3"/>
    <s v="unknown"/>
    <n v="80588"/>
    <d v="2016-10-09T00:00:00"/>
    <n v="5"/>
    <s v="Male"/>
    <s v="user98@example.com"/>
    <n v="15"/>
    <s v="user98@example.com"/>
  </r>
  <r>
    <x v="93"/>
    <s v="Alice Brown"/>
    <x v="5"/>
    <s v="usa"/>
    <n v="76238"/>
    <d v="2016-10-16T00:00:00"/>
    <n v="4"/>
    <s v="Male"/>
    <s v="user102@example.com"/>
    <n v="8"/>
    <s v="user102@example.com"/>
  </r>
  <r>
    <x v="94"/>
    <s v="Bob Johnson"/>
    <x v="3"/>
    <s v="india"/>
    <n v="33264"/>
    <d v="2016-10-23T00:00:00"/>
    <n v="3"/>
    <s v="Female"/>
    <s v="user148@example.com"/>
    <n v="1"/>
    <s v="user148@example.com"/>
  </r>
  <r>
    <x v="95"/>
    <s v="Alice Brown"/>
    <x v="0"/>
    <s v="australia"/>
    <n v="96101"/>
    <d v="2016-10-30T00:00:00"/>
    <n v="3"/>
    <s v="Other"/>
    <s v="user155@example.com"/>
    <n v="25"/>
    <s v="user155@example.com"/>
  </r>
  <r>
    <x v="96"/>
    <s v="Jane Smith"/>
    <x v="0"/>
    <s v="usa"/>
    <n v="72939"/>
    <d v="2016-11-06T00:00:00"/>
    <n v="3"/>
    <s v="Unknown"/>
    <s v="user191@example.com"/>
    <n v="18"/>
    <s v="user191@example.com"/>
  </r>
  <r>
    <x v="97"/>
    <s v="Sam Wilson"/>
    <x v="1"/>
    <s v="germany"/>
    <n v="89333"/>
    <d v="2016-11-13T00:00:00"/>
    <n v="1"/>
    <s v="Male"/>
    <s v="user113@example.com"/>
    <n v="11"/>
    <s v="user113@example.com"/>
  </r>
  <r>
    <x v="98"/>
    <s v="Bob Johnson"/>
    <x v="3"/>
    <s v="australia"/>
    <n v="70470"/>
    <d v="2016-11-20T00:00:00"/>
    <n v="3"/>
    <s v="Male"/>
    <s v="user62@example.com"/>
    <n v="4"/>
    <s v="user62@example.com"/>
  </r>
  <r>
    <x v="99"/>
    <s v="Eve Adams"/>
    <x v="4"/>
    <s v="usa"/>
    <n v="70096"/>
    <d v="2016-11-27T00:00:00"/>
    <n v="4"/>
    <s v="Male"/>
    <s v="user76@example.com"/>
    <n v="28"/>
    <s v="user76@example.com"/>
  </r>
  <r>
    <x v="100"/>
    <s v="Bob Johnson"/>
    <x v="4"/>
    <s v="unknown"/>
    <n v="63687"/>
    <d v="2016-12-04T00:00:00"/>
    <n v="2"/>
    <s v="Other"/>
    <s v="user40@example.com"/>
    <n v="20"/>
    <s v="user40@example.com"/>
  </r>
  <r>
    <x v="101"/>
    <s v="Bob Johnson"/>
    <x v="3"/>
    <s v="germany"/>
    <n v="66503"/>
    <d v="2016-12-11T00:00:00"/>
    <n v="3"/>
    <s v="Male"/>
    <s v="user200@example.com"/>
    <n v="13"/>
    <s v="user200@example.com"/>
  </r>
  <r>
    <x v="102"/>
    <s v="Alice Brown"/>
    <x v="1"/>
    <s v="germany"/>
    <n v="42096"/>
    <d v="2016-12-18T00:00:00"/>
    <n v="3"/>
    <s v="Female"/>
    <s v="user54@example.com"/>
    <n v="6"/>
    <s v="user54@example.com"/>
  </r>
  <r>
    <x v="103"/>
    <s v="Alice Brown"/>
    <x v="4"/>
    <s v="unknown"/>
    <n v="79145"/>
    <d v="2016-12-25T00:00:00"/>
    <n v="5"/>
    <s v="Other"/>
    <s v="user20@example.com"/>
    <n v="30"/>
    <s v="user20@example.com"/>
  </r>
  <r>
    <x v="104"/>
    <s v="Jane Smith"/>
    <x v="5"/>
    <s v="australia"/>
    <n v="61556"/>
    <d v="2017-01-01T00:00:00"/>
    <n v="1"/>
    <s v="Unknown"/>
    <s v="user40@example.com"/>
    <n v="23"/>
    <s v="user40@example.com"/>
  </r>
  <r>
    <x v="105"/>
    <s v="Unknown"/>
    <x v="1"/>
    <s v="uk"/>
    <n v="87963"/>
    <d v="2017-01-08T00:00:00"/>
    <n v="3"/>
    <s v="Other"/>
    <s v="invalid_email"/>
    <n v="16"/>
    <s v="unknown"/>
  </r>
  <r>
    <x v="106"/>
    <s v="Eve Adams"/>
    <x v="3"/>
    <s v="unknown"/>
    <n v="48325"/>
    <d v="2017-01-15T00:00:00"/>
    <n v="3"/>
    <s v="Male"/>
    <s v="user189@example.com"/>
    <n v="9"/>
    <s v="user189@example.com"/>
  </r>
  <r>
    <x v="107"/>
    <s v="Sam Wilson"/>
    <x v="4"/>
    <s v="australia"/>
    <n v="86412"/>
    <d v="2017-01-22T00:00:00"/>
    <n v="2"/>
    <s v="Female"/>
    <s v="user128@example.com"/>
    <n v="2"/>
    <s v="user128@example.com"/>
  </r>
  <r>
    <x v="108"/>
    <s v="Sam Wilson"/>
    <x v="1"/>
    <s v="unknown"/>
    <n v="66761"/>
    <d v="2017-01-29T00:00:00"/>
    <n v="1"/>
    <s v="Unknown"/>
    <s v="user93@example.com"/>
    <n v="26"/>
    <s v="user93@example.com"/>
  </r>
  <r>
    <x v="109"/>
    <s v="Jane Smith"/>
    <x v="5"/>
    <s v="india"/>
    <n v="88850"/>
    <d v="2017-02-05T00:00:00"/>
    <n v="1"/>
    <s v="Female"/>
    <s v="user174@example.com"/>
    <n v="19"/>
    <s v="user174@example.com"/>
  </r>
  <r>
    <x v="110"/>
    <s v="Chris Lee"/>
    <x v="2"/>
    <s v="india"/>
    <n v="31293"/>
    <s v="Unknown"/>
    <n v="2"/>
    <s v="Female"/>
    <s v="user44@example.com"/>
    <n v="0"/>
    <s v="user44@example.com"/>
  </r>
  <r>
    <x v="111"/>
    <s v="Chris Lee"/>
    <x v="3"/>
    <s v="usa"/>
    <n v="34306"/>
    <d v="2017-02-19T00:00:00"/>
    <n v="5"/>
    <s v="Female"/>
    <s v="user192@example.com"/>
    <n v="5"/>
    <s v="user192@example.com"/>
  </r>
  <r>
    <x v="112"/>
    <s v="Eve Adams"/>
    <x v="0"/>
    <s v="india"/>
    <n v="78330"/>
    <d v="2017-02-26T00:00:00"/>
    <n v="3"/>
    <s v="Other"/>
    <s v="user76@example.com"/>
    <n v="29"/>
    <s v="user76@example.com"/>
  </r>
  <r>
    <x v="113"/>
    <s v="Alice Brown"/>
    <x v="3"/>
    <s v="usa"/>
    <n v="47653"/>
    <d v="2017-03-05T00:00:00"/>
    <n v="1"/>
    <s v="Male"/>
    <s v="user82@example.com"/>
    <n v="19"/>
    <s v="user82@example.com"/>
  </r>
  <r>
    <x v="114"/>
    <s v="Eve Adams"/>
    <x v="4"/>
    <s v="uk"/>
    <n v="44627"/>
    <d v="2017-03-12T00:00:00"/>
    <n v="4"/>
    <s v="Unknown"/>
    <s v="user97@example.com"/>
    <n v="12"/>
    <s v="user97@example.com"/>
  </r>
  <r>
    <x v="115"/>
    <s v="Bob Johnson"/>
    <x v="1"/>
    <s v="germany"/>
    <n v="92343"/>
    <d v="2017-03-19T00:00:00"/>
    <n v="4"/>
    <s v="Female"/>
    <s v="user149@example.com"/>
    <n v="5"/>
    <s v="user149@example.com"/>
  </r>
  <r>
    <x v="116"/>
    <s v="Bob Johnson"/>
    <x v="4"/>
    <s v="australia"/>
    <n v="38837"/>
    <d v="2017-03-26T00:00:00"/>
    <n v="5"/>
    <s v="Female"/>
    <s v="user192@example.com"/>
    <n v="29"/>
    <s v="user192@example.com"/>
  </r>
  <r>
    <x v="117"/>
    <s v="Bob Johnson"/>
    <x v="4"/>
    <s v="unknown"/>
    <n v="73483"/>
    <d v="2017-04-02T00:00:00"/>
    <n v="1"/>
    <s v="Unknown"/>
    <s v="user137@example.com"/>
    <n v="22"/>
    <s v="user137@example.com"/>
  </r>
  <r>
    <x v="118"/>
    <s v="Chris Lee"/>
    <x v="2"/>
    <s v="india"/>
    <n v="95032"/>
    <d v="2017-04-09T00:00:00"/>
    <n v="3"/>
    <s v="Unknown"/>
    <s v="user23@example.com"/>
    <n v="15"/>
    <s v="user23@example.com"/>
  </r>
  <r>
    <x v="119"/>
    <s v="Eve Adams"/>
    <x v="2"/>
    <s v="australia"/>
    <n v="44358"/>
    <d v="2017-04-16T00:00:00"/>
    <n v="3"/>
    <s v="Female"/>
    <s v="user200@example.com"/>
    <n v="8"/>
    <s v="user200@example.com"/>
  </r>
  <r>
    <x v="120"/>
    <s v="Unknown"/>
    <x v="3"/>
    <s v="usa"/>
    <n v="66158"/>
    <s v="Unknown"/>
    <n v="5"/>
    <s v="Unknown"/>
    <s v="user101@example.com"/>
    <n v="0"/>
    <s v="user101@example.com"/>
  </r>
  <r>
    <x v="121"/>
    <s v="Chris Lee"/>
    <x v="2"/>
    <s v="usa"/>
    <n v="45676"/>
    <d v="2017-04-30T00:00:00"/>
    <n v="2"/>
    <s v="Unknown"/>
    <s v="user132@example.com"/>
    <n v="25"/>
    <s v="user132@example.com"/>
  </r>
  <r>
    <x v="122"/>
    <s v="Bob Johnson"/>
    <x v="2"/>
    <s v="germany"/>
    <n v="52036"/>
    <d v="2017-05-07T00:00:00"/>
    <n v="3"/>
    <s v="Male"/>
    <s v="user171@example.com"/>
    <n v="17"/>
    <s v="user171@example.com"/>
  </r>
  <r>
    <x v="123"/>
    <s v="Jane Smith"/>
    <x v="5"/>
    <s v="germany"/>
    <n v="30357"/>
    <d v="2017-05-14T00:00:00"/>
    <n v="5"/>
    <s v="Male"/>
    <s v="user145@example.com"/>
    <n v="10"/>
    <s v="user145@example.com"/>
  </r>
  <r>
    <x v="124"/>
    <s v="John Doe"/>
    <x v="3"/>
    <s v="unknown"/>
    <n v="60034"/>
    <d v="2017-05-21T00:00:00"/>
    <n v="1"/>
    <s v="Female"/>
    <s v="user75@example.com"/>
    <n v="3"/>
    <s v="user75@example.com"/>
  </r>
  <r>
    <x v="125"/>
    <s v="John Doe"/>
    <x v="0"/>
    <s v="unknown"/>
    <n v="90019"/>
    <d v="2017-05-28T00:00:00"/>
    <n v="5"/>
    <s v="Unknown"/>
    <s v="user52@example.com"/>
    <n v="27"/>
    <s v="user52@example.com"/>
  </r>
  <r>
    <x v="126"/>
    <s v="Bob Johnson"/>
    <x v="5"/>
    <s v="germany"/>
    <n v="71494"/>
    <d v="2017-06-04T00:00:00"/>
    <n v="3"/>
    <s v="Male"/>
    <s v="user100@example.com"/>
    <n v="20"/>
    <s v="user100@example.com"/>
  </r>
  <r>
    <x v="127"/>
    <s v="John Doe"/>
    <x v="0"/>
    <s v="usa"/>
    <n v="91953"/>
    <d v="2017-06-11T00:00:00"/>
    <n v="2"/>
    <s v="Male"/>
    <s v="user83@example.com"/>
    <n v="13"/>
    <s v="user83@example.com"/>
  </r>
  <r>
    <x v="128"/>
    <s v="Chris Lee"/>
    <x v="2"/>
    <s v="usa"/>
    <n v="30402"/>
    <d v="2017-06-18T00:00:00"/>
    <n v="1"/>
    <s v="Unknown"/>
    <s v="user167@example.com"/>
    <n v="6"/>
    <s v="user167@example.com"/>
  </r>
  <r>
    <x v="129"/>
    <s v="Bob Johnson"/>
    <x v="5"/>
    <s v="uk"/>
    <n v="62994"/>
    <d v="2017-06-25T00:00:00"/>
    <n v="3"/>
    <s v="Unknown"/>
    <s v="user175@example.com"/>
    <n v="30"/>
    <s v="user175@example.com"/>
  </r>
  <r>
    <x v="130"/>
    <s v="Alice Brown"/>
    <x v="2"/>
    <s v="india"/>
    <n v="48289"/>
    <s v="Unknown"/>
    <n v="3"/>
    <s v="Male"/>
    <s v="user25@example.com"/>
    <n v="0"/>
    <s v="user25@example.com"/>
  </r>
  <r>
    <x v="131"/>
    <s v="Sam Wilson"/>
    <x v="4"/>
    <s v="germany"/>
    <n v="34402"/>
    <d v="2017-07-09T00:00:00"/>
    <n v="3"/>
    <s v="Other"/>
    <s v="user42@example.com"/>
    <n v="15"/>
    <s v="user42@example.com"/>
  </r>
  <r>
    <x v="132"/>
    <s v="Eve Adams"/>
    <x v="1"/>
    <s v="usa"/>
    <n v="38678"/>
    <d v="2017-07-16T00:00:00"/>
    <n v="3"/>
    <s v="Other"/>
    <s v="user188@example.com"/>
    <n v="8"/>
    <s v="user188@example.com"/>
  </r>
  <r>
    <x v="133"/>
    <s v="Chris Lee"/>
    <x v="1"/>
    <s v="germany"/>
    <n v="45758"/>
    <d v="2017-07-23T00:00:00"/>
    <n v="3"/>
    <s v="Unknown"/>
    <s v="user44@example.com"/>
    <n v="1"/>
    <s v="user44@example.com"/>
  </r>
  <r>
    <x v="134"/>
    <s v="Eve Adams"/>
    <x v="4"/>
    <s v="india"/>
    <n v="62476"/>
    <d v="2017-07-30T00:00:00"/>
    <n v="1"/>
    <s v="Other"/>
    <s v="user63@example.com"/>
    <n v="25"/>
    <s v="user63@example.com"/>
  </r>
  <r>
    <x v="135"/>
    <s v="Unknown"/>
    <x v="3"/>
    <s v="uk"/>
    <n v="39280"/>
    <d v="2017-08-06T00:00:00"/>
    <n v="3"/>
    <s v="Female"/>
    <s v="user198@example.com"/>
    <n v="18"/>
    <s v="user198@example.com"/>
  </r>
  <r>
    <x v="136"/>
    <s v="Jane Smith"/>
    <x v="0"/>
    <s v="india"/>
    <n v="60335"/>
    <d v="2017-08-13T00:00:00"/>
    <n v="4"/>
    <s v="Other"/>
    <s v="user59@example.com"/>
    <n v="11"/>
    <s v="user59@example.com"/>
  </r>
  <r>
    <x v="137"/>
    <s v="Chris Lee"/>
    <x v="1"/>
    <s v="germany"/>
    <n v="84968"/>
    <d v="2017-08-20T00:00:00"/>
    <n v="3"/>
    <s v="Unknown"/>
    <s v="user165@example.com"/>
    <n v="4"/>
    <s v="user165@example.com"/>
  </r>
  <r>
    <x v="138"/>
    <s v="Chris Lee"/>
    <x v="4"/>
    <s v="australia"/>
    <n v="84750"/>
    <d v="2017-08-27T00:00:00"/>
    <n v="4"/>
    <s v="Female"/>
    <s v="user3@example.com"/>
    <n v="28"/>
    <s v="user3@example.com"/>
  </r>
  <r>
    <x v="139"/>
    <s v="Bob Johnson"/>
    <x v="3"/>
    <s v="unknown"/>
    <n v="73348"/>
    <d v="2017-09-03T00:00:00"/>
    <n v="2"/>
    <s v="Unknown"/>
    <s v="user22@example.com"/>
    <n v="21"/>
    <s v="user22@example.com"/>
  </r>
  <r>
    <x v="140"/>
    <s v="Chris Lee"/>
    <x v="2"/>
    <s v="usa"/>
    <n v="67929"/>
    <d v="2017-09-10T00:00:00"/>
    <n v="4"/>
    <s v="Other"/>
    <s v="invalid_email"/>
    <n v="14"/>
    <s v="unknown"/>
  </r>
  <r>
    <x v="141"/>
    <s v="Jane Smith"/>
    <x v="4"/>
    <s v="usa"/>
    <n v="66882"/>
    <d v="2017-09-17T00:00:00"/>
    <n v="5"/>
    <s v="Other"/>
    <s v="user103@example.com"/>
    <n v="7"/>
    <s v="user103@example.com"/>
  </r>
  <r>
    <x v="142"/>
    <s v="Alice Brown"/>
    <x v="4"/>
    <s v="unknown"/>
    <n v="86775"/>
    <d v="2017-09-24T00:00:00"/>
    <n v="3"/>
    <s v="Other"/>
    <s v="user190@example.com"/>
    <n v="0"/>
    <s v="user190@example.com"/>
  </r>
  <r>
    <x v="143"/>
    <s v="Chris Lee"/>
    <x v="2"/>
    <s v="uk"/>
    <n v="91620"/>
    <d v="2017-10-01T00:00:00"/>
    <n v="3"/>
    <s v="Unknown"/>
    <s v="user114@example.com"/>
    <n v="23"/>
    <s v="user114@example.com"/>
  </r>
  <r>
    <x v="144"/>
    <s v="Eve Adams"/>
    <x v="5"/>
    <s v="unknown"/>
    <n v="94148"/>
    <d v="2017-10-08T00:00:00"/>
    <n v="2"/>
    <s v="Unknown"/>
    <s v="user53@example.com"/>
    <n v="16"/>
    <s v="user53@example.com"/>
  </r>
  <r>
    <x v="145"/>
    <s v="Sam Wilson"/>
    <x v="2"/>
    <s v="australia"/>
    <n v="35627"/>
    <d v="2017-10-15T00:00:00"/>
    <n v="5"/>
    <s v="Female"/>
    <s v="user188@example.com"/>
    <n v="9"/>
    <s v="user188@example.com"/>
  </r>
  <r>
    <x v="146"/>
    <s v="John Doe"/>
    <x v="4"/>
    <s v="usa"/>
    <n v="57141"/>
    <d v="2017-10-22T00:00:00"/>
    <n v="2"/>
    <s v="Unknown"/>
    <s v="user165@example.com"/>
    <n v="2"/>
    <s v="user165@example.com"/>
  </r>
  <r>
    <x v="147"/>
    <s v="Bob Johnson"/>
    <x v="2"/>
    <s v="australia"/>
    <n v="65270"/>
    <d v="2017-10-29T00:00:00"/>
    <n v="1"/>
    <s v="Unknown"/>
    <s v="user163@example.com"/>
    <n v="26"/>
    <s v="user163@example.com"/>
  </r>
  <r>
    <x v="148"/>
    <s v="Bob Johnson"/>
    <x v="5"/>
    <s v="uk"/>
    <n v="67335"/>
    <d v="2017-11-05T00:00:00"/>
    <n v="1"/>
    <s v="Other"/>
    <s v="user112@example.com"/>
    <n v="19"/>
    <s v="user112@example.com"/>
  </r>
  <r>
    <x v="149"/>
    <s v="Sam Wilson"/>
    <x v="4"/>
    <s v="india"/>
    <n v="98475"/>
    <d v="2017-11-12T00:00:00"/>
    <n v="5"/>
    <s v="Other"/>
    <s v="user30@example.com"/>
    <n v="12"/>
    <s v="user30@example.co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s v="FINANCE"/>
    <s v="unknown"/>
    <n v="65605"/>
    <s v="Unknown"/>
    <n v="2"/>
    <s v="Unknown"/>
    <s v="invalid_email"/>
    <n v="0"/>
    <s v="unknown"/>
  </r>
  <r>
    <x v="1"/>
    <x v="1"/>
    <s v="HR"/>
    <s v="germany"/>
    <n v="54255"/>
    <d v="2015-01-11T00:00:00"/>
    <n v="1"/>
    <s v="Other"/>
    <s v="user106@example.com"/>
    <n v="13"/>
    <s v="user106@example.com"/>
  </r>
  <r>
    <x v="2"/>
    <x v="2"/>
    <s v="FINANCE"/>
    <s v="germany"/>
    <n v="63184"/>
    <d v="2015-01-18T00:00:00"/>
    <n v="2"/>
    <s v="Unknown"/>
    <s v="user176@example.com"/>
    <n v="6"/>
    <s v="user176@example.com"/>
  </r>
  <r>
    <x v="3"/>
    <x v="3"/>
    <s v="SALES"/>
    <s v="usa"/>
    <n v="94406"/>
    <d v="2015-01-25T00:00:00"/>
    <n v="1"/>
    <s v="Male"/>
    <s v="user168@example.com"/>
    <n v="30"/>
    <s v="user168@example.com"/>
  </r>
  <r>
    <x v="4"/>
    <x v="4"/>
    <s v="SALES"/>
    <s v="germany"/>
    <n v="64120"/>
    <d v="2015-02-01T00:00:00"/>
    <n v="1"/>
    <s v="Male"/>
    <s v="user49@example.com"/>
    <n v="23"/>
    <s v="user49@example.com"/>
  </r>
  <r>
    <x v="5"/>
    <x v="2"/>
    <s v="IT"/>
    <s v="india"/>
    <n v="78421"/>
    <d v="2015-02-08T00:00:00"/>
    <n v="2"/>
    <s v="Female"/>
    <s v="user24@example.com"/>
    <n v="16"/>
    <s v="user24@example.com"/>
  </r>
  <r>
    <x v="6"/>
    <x v="5"/>
    <s v="SALES"/>
    <s v="unknown"/>
    <n v="67721"/>
    <d v="2015-02-15T00:00:00"/>
    <n v="3"/>
    <s v="Male"/>
    <s v="user168@example.com"/>
    <n v="9"/>
    <s v="user168@example.com"/>
  </r>
  <r>
    <x v="7"/>
    <x v="6"/>
    <s v="MARKETING"/>
    <s v="unknown"/>
    <n v="35364"/>
    <d v="2015-02-22T00:00:00"/>
    <n v="2"/>
    <s v="Other"/>
    <s v="user26@example.com"/>
    <n v="2"/>
    <s v="user26@example.com"/>
  </r>
  <r>
    <x v="8"/>
    <x v="2"/>
    <s v="IT"/>
    <s v="germany"/>
    <n v="97881"/>
    <d v="2015-03-01T00:00:00"/>
    <n v="3"/>
    <s v="Female"/>
    <s v="user25@example.com"/>
    <n v="23"/>
    <s v="user25@example.com"/>
  </r>
  <r>
    <x v="9"/>
    <x v="6"/>
    <s v="HR"/>
    <s v="uk"/>
    <n v="91846"/>
    <d v="2015-03-08T00:00:00"/>
    <n v="3"/>
    <s v="Male"/>
    <s v="user153@example.com"/>
    <n v="16"/>
    <s v="user153@example.com"/>
  </r>
  <r>
    <x v="10"/>
    <x v="5"/>
    <s v="FINANCE"/>
    <s v="uk"/>
    <n v="64247"/>
    <d v="2015-03-15T00:00:00"/>
    <n v="1"/>
    <s v="Female"/>
    <s v="user18@example.com"/>
    <n v="9"/>
    <s v="user18@example.com"/>
  </r>
  <r>
    <x v="11"/>
    <x v="5"/>
    <s v="IT"/>
    <s v="usa"/>
    <n v="91180"/>
    <d v="2015-03-22T00:00:00"/>
    <n v="5"/>
    <s v="Male"/>
    <s v="user1@example.com"/>
    <n v="2"/>
    <s v="user1@example.com"/>
  </r>
  <r>
    <x v="12"/>
    <x v="7"/>
    <s v="SALES"/>
    <s v="unknown"/>
    <n v="96418"/>
    <d v="2015-03-29T00:00:00"/>
    <n v="5"/>
    <s v="Male"/>
    <s v="user106@example.com"/>
    <n v="26"/>
    <s v="user106@example.com"/>
  </r>
  <r>
    <x v="13"/>
    <x v="5"/>
    <s v="UNKNOWN"/>
    <s v="india"/>
    <n v="62158"/>
    <d v="2015-04-05T00:00:00"/>
    <n v="4"/>
    <s v="Unknown"/>
    <s v="user180@example.com"/>
    <n v="19"/>
    <s v="user180@example.com"/>
  </r>
  <r>
    <x v="14"/>
    <x v="4"/>
    <s v="HR"/>
    <s v="unknown"/>
    <n v="59894"/>
    <d v="2015-04-12T00:00:00"/>
    <n v="2"/>
    <s v="Male"/>
    <s v="user184@example.com"/>
    <n v="12"/>
    <s v="user184@example.com"/>
  </r>
  <r>
    <x v="15"/>
    <x v="0"/>
    <s v="IT"/>
    <s v="india"/>
    <n v="92443"/>
    <d v="2015-04-19T00:00:00"/>
    <n v="3"/>
    <s v="Other"/>
    <s v="user3@example.com"/>
    <n v="5"/>
    <s v="user3@example.com"/>
  </r>
  <r>
    <x v="16"/>
    <x v="7"/>
    <s v="UNKNOWN"/>
    <s v="germany"/>
    <n v="90271"/>
    <d v="2015-04-26T00:00:00"/>
    <n v="3"/>
    <s v="Unknown"/>
    <s v="user64@example.com"/>
    <n v="29"/>
    <s v="user64@example.com"/>
  </r>
  <r>
    <x v="17"/>
    <x v="4"/>
    <s v="FINANCE"/>
    <s v="australia"/>
    <n v="41341"/>
    <d v="2015-05-03T00:00:00"/>
    <n v="1"/>
    <s v="Other"/>
    <s v="user38@example.com"/>
    <n v="21"/>
    <s v="user38@example.com"/>
  </r>
  <r>
    <x v="18"/>
    <x v="2"/>
    <s v="FINANCE"/>
    <s v="uk"/>
    <n v="73602"/>
    <d v="2015-05-10T00:00:00"/>
    <n v="3"/>
    <s v="Unknown"/>
    <s v="user96@example.com"/>
    <n v="14"/>
    <s v="user96@example.com"/>
  </r>
  <r>
    <x v="19"/>
    <x v="1"/>
    <s v="UNKNOWN"/>
    <s v="india"/>
    <n v="67531"/>
    <d v="2015-05-17T00:00:00"/>
    <n v="5"/>
    <s v="Female"/>
    <s v="user151@example.com"/>
    <n v="7"/>
    <s v="user151@example.com"/>
  </r>
  <r>
    <x v="20"/>
    <x v="4"/>
    <s v="HR"/>
    <s v="usa"/>
    <n v="67835"/>
    <d v="2015-05-24T00:00:00"/>
    <n v="2"/>
    <s v="Other"/>
    <s v="user200@example.com"/>
    <n v="0"/>
    <s v="user200@example.com"/>
  </r>
  <r>
    <x v="21"/>
    <x v="4"/>
    <s v="HR"/>
    <s v="unknown"/>
    <n v="98922"/>
    <d v="2015-05-31T00:00:00"/>
    <n v="4"/>
    <s v="Unknown"/>
    <s v="user77@example.com"/>
    <n v="24"/>
    <s v="user77@example.com"/>
  </r>
  <r>
    <x v="22"/>
    <x v="1"/>
    <s v="FINANCE"/>
    <s v="india"/>
    <n v="38333"/>
    <d v="2015-06-07T00:00:00"/>
    <n v="5"/>
    <s v="Unknown"/>
    <s v="user128@example.com"/>
    <n v="17"/>
    <s v="user128@example.com"/>
  </r>
  <r>
    <x v="23"/>
    <x v="2"/>
    <s v="MARKETING"/>
    <s v="uk"/>
    <n v="36515"/>
    <d v="2015-06-14T00:00:00"/>
    <n v="3"/>
    <s v="Male"/>
    <s v="user149@example.com"/>
    <n v="10"/>
    <s v="user149@example.com"/>
  </r>
  <r>
    <x v="24"/>
    <x v="5"/>
    <s v="FINANCE"/>
    <s v="unknown"/>
    <n v="91005"/>
    <d v="2015-06-21T00:00:00"/>
    <n v="1"/>
    <s v="Other"/>
    <s v="user122@example.com"/>
    <n v="3"/>
    <s v="user122@example.com"/>
  </r>
  <r>
    <x v="25"/>
    <x v="6"/>
    <s v="UNKNOWN"/>
    <s v="unknown"/>
    <n v="52272"/>
    <d v="2015-06-28T00:00:00"/>
    <n v="3"/>
    <s v="Unknown"/>
    <s v="user41@example.com"/>
    <n v="27"/>
    <s v="user41@example.com"/>
  </r>
  <r>
    <x v="26"/>
    <x v="1"/>
    <s v="SALES"/>
    <s v="germany"/>
    <n v="76518"/>
    <d v="2015-07-05T00:00:00"/>
    <n v="2"/>
    <s v="Female"/>
    <s v="user68@example.com"/>
    <n v="19"/>
    <s v="user68@example.com"/>
  </r>
  <r>
    <x v="27"/>
    <x v="2"/>
    <s v="IT"/>
    <s v="uk"/>
    <n v="41448"/>
    <d v="2015-07-12T00:00:00"/>
    <n v="3"/>
    <s v="Other"/>
    <s v="user103@example.com"/>
    <n v="12"/>
    <s v="user103@example.com"/>
  </r>
  <r>
    <x v="28"/>
    <x v="3"/>
    <s v="HR"/>
    <s v="uk"/>
    <n v="49282"/>
    <d v="2015-07-19T00:00:00"/>
    <n v="2"/>
    <s v="Female"/>
    <s v="user135@example.com"/>
    <n v="5"/>
    <s v="user135@example.com"/>
  </r>
  <r>
    <x v="29"/>
    <x v="7"/>
    <s v="MARKETING"/>
    <s v="uk"/>
    <n v="92959"/>
    <d v="2015-07-26T00:00:00"/>
    <n v="5"/>
    <s v="Unknown"/>
    <s v="user83@example.com"/>
    <n v="29"/>
    <s v="user83@example.com"/>
  </r>
  <r>
    <x v="30"/>
    <x v="0"/>
    <s v="MARKETING"/>
    <s v="unknown"/>
    <n v="92259"/>
    <s v="Unknown"/>
    <n v="1"/>
    <s v="Unknown"/>
    <s v="user109@example.com"/>
    <n v="0"/>
    <s v="user109@example.com"/>
  </r>
  <r>
    <x v="31"/>
    <x v="1"/>
    <s v="HR"/>
    <s v="germany"/>
    <n v="92299"/>
    <d v="2015-08-09T00:00:00"/>
    <n v="3"/>
    <s v="Male"/>
    <s v="user143@example.com"/>
    <n v="15"/>
    <s v="user143@example.com"/>
  </r>
  <r>
    <x v="32"/>
    <x v="5"/>
    <s v="HR"/>
    <s v="unknown"/>
    <n v="95586"/>
    <d v="2015-08-16T00:00:00"/>
    <n v="3"/>
    <s v="Other"/>
    <s v="user190@example.com"/>
    <n v="8"/>
    <s v="user190@example.com"/>
  </r>
  <r>
    <x v="33"/>
    <x v="6"/>
    <s v="UNKNOWN"/>
    <s v="usa"/>
    <n v="95367"/>
    <d v="2015-08-23T00:00:00"/>
    <n v="3"/>
    <s v="Male"/>
    <s v="user136@example.com"/>
    <n v="1"/>
    <s v="user136@example.com"/>
  </r>
  <r>
    <x v="34"/>
    <x v="3"/>
    <s v="SALES"/>
    <s v="australia"/>
    <n v="79549"/>
    <d v="2015-08-30T00:00:00"/>
    <n v="3"/>
    <s v="Unknown"/>
    <s v="user198@example.com"/>
    <n v="25"/>
    <s v="user198@example.com"/>
  </r>
  <r>
    <x v="35"/>
    <x v="2"/>
    <s v="UNKNOWN"/>
    <s v="uk"/>
    <n v="54463"/>
    <d v="2015-09-06T00:00:00"/>
    <n v="4"/>
    <s v="Male"/>
    <s v="invalid_email"/>
    <n v="18"/>
    <s v="unknown"/>
  </r>
  <r>
    <x v="36"/>
    <x v="2"/>
    <s v="IT"/>
    <s v="usa"/>
    <n v="89781"/>
    <d v="2015-09-13T00:00:00"/>
    <n v="3"/>
    <s v="Female"/>
    <s v="user31@example.com"/>
    <n v="11"/>
    <s v="user31@example.com"/>
  </r>
  <r>
    <x v="37"/>
    <x v="2"/>
    <s v="HR"/>
    <s v="unknown"/>
    <n v="64796"/>
    <d v="2015-09-20T00:00:00"/>
    <n v="3"/>
    <s v="Other"/>
    <s v="user98@example.com"/>
    <n v="4"/>
    <s v="user98@example.com"/>
  </r>
  <r>
    <x v="38"/>
    <x v="3"/>
    <s v="MARKETING"/>
    <s v="uk"/>
    <n v="52093"/>
    <d v="2015-09-27T00:00:00"/>
    <n v="5"/>
    <s v="Unknown"/>
    <s v="user154@example.com"/>
    <n v="28"/>
    <s v="user154@example.com"/>
  </r>
  <r>
    <x v="39"/>
    <x v="6"/>
    <s v="HR"/>
    <s v="uk"/>
    <n v="48224"/>
    <d v="2015-10-04T00:00:00"/>
    <n v="3"/>
    <s v="Unknown"/>
    <s v="user42@example.com"/>
    <n v="20"/>
    <s v="user42@example.com"/>
  </r>
  <r>
    <x v="40"/>
    <x v="7"/>
    <s v="FINANCE"/>
    <s v="uk"/>
    <n v="65605"/>
    <s v="Unknown"/>
    <n v="4"/>
    <s v="Female"/>
    <s v="user89@example.com"/>
    <n v="0"/>
    <s v="user89@example.com"/>
  </r>
  <r>
    <x v="41"/>
    <x v="2"/>
    <s v="IT"/>
    <s v="germany"/>
    <n v="33956"/>
    <d v="2015-10-18T00:00:00"/>
    <n v="3"/>
    <s v="Unknown"/>
    <s v="user47@example.com"/>
    <n v="6"/>
    <s v="user47@example.com"/>
  </r>
  <r>
    <x v="42"/>
    <x v="7"/>
    <s v="UNKNOWN"/>
    <s v="australia"/>
    <n v="64913"/>
    <d v="2015-10-25T00:00:00"/>
    <n v="1"/>
    <s v="Female"/>
    <s v="user175@example.com"/>
    <n v="30"/>
    <s v="user175@example.com"/>
  </r>
  <r>
    <x v="43"/>
    <x v="2"/>
    <s v="MARKETING"/>
    <s v="australia"/>
    <n v="35326"/>
    <d v="2015-11-01T00:00:00"/>
    <n v="3"/>
    <s v="Female"/>
    <s v="user57@example.com"/>
    <n v="23"/>
    <s v="user57@example.com"/>
  </r>
  <r>
    <x v="44"/>
    <x v="6"/>
    <s v="FINANCE"/>
    <s v="unknown"/>
    <n v="81610"/>
    <d v="2015-11-08T00:00:00"/>
    <n v="1"/>
    <s v="Unknown"/>
    <s v="user20@example.com"/>
    <n v="16"/>
    <s v="user20@example.com"/>
  </r>
  <r>
    <x v="45"/>
    <x v="0"/>
    <s v="HR"/>
    <s v="unknown"/>
    <n v="58962"/>
    <d v="2015-11-15T00:00:00"/>
    <n v="3"/>
    <s v="Other"/>
    <s v="user106@example.com"/>
    <n v="9"/>
    <s v="user106@example.com"/>
  </r>
  <r>
    <x v="46"/>
    <x v="6"/>
    <s v="IT"/>
    <s v="germany"/>
    <n v="92701"/>
    <d v="2015-11-22T00:00:00"/>
    <n v="3"/>
    <s v="Other"/>
    <s v="user199@example.com"/>
    <n v="2"/>
    <s v="user199@example.com"/>
  </r>
  <r>
    <x v="47"/>
    <x v="6"/>
    <s v="HR"/>
    <s v="india"/>
    <n v="58245"/>
    <d v="2015-11-29T00:00:00"/>
    <n v="4"/>
    <s v="Unknown"/>
    <s v="user43@example.com"/>
    <n v="26"/>
    <s v="user43@example.com"/>
  </r>
  <r>
    <x v="48"/>
    <x v="3"/>
    <s v="FINANCE"/>
    <s v="unknown"/>
    <n v="66513"/>
    <d v="2015-12-06T00:00:00"/>
    <n v="2"/>
    <s v="Other"/>
    <s v="user24@example.com"/>
    <n v="18"/>
    <s v="user24@example.com"/>
  </r>
  <r>
    <x v="49"/>
    <x v="1"/>
    <s v="HR"/>
    <s v="germany"/>
    <n v="78720"/>
    <d v="2015-12-13T00:00:00"/>
    <n v="5"/>
    <s v="Female"/>
    <s v="user89@example.com"/>
    <n v="11"/>
    <s v="user89@example.com"/>
  </r>
  <r>
    <x v="50"/>
    <x v="6"/>
    <s v="UNKNOWN"/>
    <s v="unknown"/>
    <n v="30686"/>
    <s v="Unknown"/>
    <n v="2"/>
    <s v="Female"/>
    <s v="user95@example.com"/>
    <n v="0"/>
    <s v="user95@example.com"/>
  </r>
  <r>
    <x v="51"/>
    <x v="5"/>
    <s v="SALES"/>
    <s v="india"/>
    <n v="39423"/>
    <d v="2015-12-27T00:00:00"/>
    <n v="5"/>
    <s v="Unknown"/>
    <s v="user59@example.com"/>
    <n v="28"/>
    <s v="user59@example.com"/>
  </r>
  <r>
    <x v="52"/>
    <x v="1"/>
    <s v="MARKETING"/>
    <s v="unknown"/>
    <n v="30280"/>
    <d v="2016-01-03T00:00:00"/>
    <n v="1"/>
    <s v="Unknown"/>
    <s v="user152@example.com"/>
    <n v="21"/>
    <s v="user152@example.com"/>
  </r>
  <r>
    <x v="53"/>
    <x v="1"/>
    <s v="FINANCE"/>
    <s v="uk"/>
    <n v="33352"/>
    <d v="2016-01-10T00:00:00"/>
    <n v="3"/>
    <s v="Female"/>
    <s v="user200@example.com"/>
    <n v="14"/>
    <s v="user200@example.com"/>
  </r>
  <r>
    <x v="54"/>
    <x v="7"/>
    <s v="MARKETING"/>
    <s v="uk"/>
    <n v="75633"/>
    <d v="2016-01-17T00:00:00"/>
    <n v="5"/>
    <s v="Other"/>
    <s v="user92@example.com"/>
    <n v="7"/>
    <s v="user92@example.com"/>
  </r>
  <r>
    <x v="55"/>
    <x v="6"/>
    <s v="UNKNOWN"/>
    <s v="usa"/>
    <n v="74815"/>
    <d v="2016-01-24T00:00:00"/>
    <n v="5"/>
    <s v="Female"/>
    <s v="user50@example.com"/>
    <n v="0"/>
    <s v="user50@example.com"/>
  </r>
  <r>
    <x v="56"/>
    <x v="3"/>
    <s v="SALES"/>
    <s v="australia"/>
    <n v="60011"/>
    <d v="2016-01-31T00:00:00"/>
    <n v="1"/>
    <s v="Male"/>
    <s v="user63@example.com"/>
    <n v="24"/>
    <s v="user63@example.com"/>
  </r>
  <r>
    <x v="57"/>
    <x v="1"/>
    <s v="UNKNOWN"/>
    <s v="india"/>
    <n v="96949"/>
    <d v="2016-02-07T00:00:00"/>
    <n v="3"/>
    <s v="Unknown"/>
    <s v="user103@example.com"/>
    <n v="17"/>
    <s v="user103@example.com"/>
  </r>
  <r>
    <x v="58"/>
    <x v="5"/>
    <s v="MARKETING"/>
    <s v="unknown"/>
    <n v="84924"/>
    <d v="2016-02-14T00:00:00"/>
    <n v="5"/>
    <s v="Male"/>
    <s v="user150@example.com"/>
    <n v="10"/>
    <s v="user150@example.com"/>
  </r>
  <r>
    <x v="59"/>
    <x v="5"/>
    <s v="FINANCE"/>
    <s v="usa"/>
    <n v="82033"/>
    <d v="2016-02-21T00:00:00"/>
    <n v="1"/>
    <s v="Unknown"/>
    <s v="user20@example.com"/>
    <n v="3"/>
    <s v="user20@example.com"/>
  </r>
  <r>
    <x v="60"/>
    <x v="0"/>
    <s v="MARKETING"/>
    <s v="germany"/>
    <n v="63687"/>
    <s v="Unknown"/>
    <n v="5"/>
    <s v="Unknown"/>
    <s v="user112@example.com"/>
    <n v="0"/>
    <s v="user112@example.com"/>
  </r>
  <r>
    <x v="61"/>
    <x v="1"/>
    <s v="UNKNOWN"/>
    <s v="australia"/>
    <n v="31499"/>
    <d v="2016-03-06T00:00:00"/>
    <n v="2"/>
    <s v="Unknown"/>
    <s v="user31@example.com"/>
    <n v="18"/>
    <s v="user31@example.com"/>
  </r>
  <r>
    <x v="62"/>
    <x v="6"/>
    <s v="IT"/>
    <s v="uk"/>
    <n v="97981"/>
    <d v="2016-03-13T00:00:00"/>
    <n v="5"/>
    <s v="Female"/>
    <s v="user71@example.com"/>
    <n v="11"/>
    <s v="user71@example.com"/>
  </r>
  <r>
    <x v="63"/>
    <x v="1"/>
    <s v="HR"/>
    <s v="usa"/>
    <n v="36541"/>
    <d v="2016-03-20T00:00:00"/>
    <n v="2"/>
    <s v="Other"/>
    <s v="user97@example.com"/>
    <n v="4"/>
    <s v="user97@example.com"/>
  </r>
  <r>
    <x v="64"/>
    <x v="3"/>
    <s v="IT"/>
    <s v="india"/>
    <n v="84737"/>
    <d v="2016-03-27T00:00:00"/>
    <n v="1"/>
    <s v="Male"/>
    <s v="user141@example.com"/>
    <n v="28"/>
    <s v="user141@example.com"/>
  </r>
  <r>
    <x v="65"/>
    <x v="5"/>
    <s v="FINANCE"/>
    <s v="india"/>
    <n v="33468"/>
    <d v="2016-04-03T00:00:00"/>
    <n v="4"/>
    <s v="Male"/>
    <s v="user125@example.com"/>
    <n v="21"/>
    <s v="user125@example.com"/>
  </r>
  <r>
    <x v="66"/>
    <x v="5"/>
    <s v="UNKNOWN"/>
    <s v="australia"/>
    <n v="96365"/>
    <d v="2016-04-10T00:00:00"/>
    <n v="3"/>
    <s v="Other"/>
    <s v="user90@example.com"/>
    <n v="14"/>
    <s v="user90@example.com"/>
  </r>
  <r>
    <x v="67"/>
    <x v="2"/>
    <s v="SALES"/>
    <s v="india"/>
    <n v="61942"/>
    <d v="2016-04-17T00:00:00"/>
    <n v="3"/>
    <s v="Female"/>
    <s v="user192@example.com"/>
    <n v="7"/>
    <s v="user192@example.com"/>
  </r>
  <r>
    <x v="68"/>
    <x v="5"/>
    <s v="FINANCE"/>
    <s v="uk"/>
    <n v="41467"/>
    <d v="2016-04-24T00:00:00"/>
    <n v="2"/>
    <s v="Unknown"/>
    <s v="user77@example.com"/>
    <n v="0"/>
    <s v="user77@example.com"/>
  </r>
  <r>
    <x v="69"/>
    <x v="7"/>
    <s v="FINANCE"/>
    <s v="india"/>
    <n v="77096"/>
    <d v="2016-05-01T00:00:00"/>
    <n v="1"/>
    <s v="Unknown"/>
    <s v="user65@example.com"/>
    <n v="23"/>
    <s v="user65@example.com"/>
  </r>
  <r>
    <x v="70"/>
    <x v="1"/>
    <s v="SALES"/>
    <s v="australia"/>
    <n v="69952"/>
    <d v="2016-05-08T00:00:00"/>
    <n v="5"/>
    <s v="Female"/>
    <s v="invalid_email"/>
    <n v="16"/>
    <s v="unknown"/>
  </r>
  <r>
    <x v="71"/>
    <x v="1"/>
    <s v="MARKETING"/>
    <s v="usa"/>
    <n v="85065"/>
    <d v="2016-05-15T00:00:00"/>
    <n v="3"/>
    <s v="Unknown"/>
    <s v="user142@example.com"/>
    <n v="9"/>
    <s v="user142@example.com"/>
  </r>
  <r>
    <x v="72"/>
    <x v="7"/>
    <s v="MARKETING"/>
    <s v="india"/>
    <n v="56512"/>
    <d v="2016-05-22T00:00:00"/>
    <n v="3"/>
    <s v="Other"/>
    <s v="user153@example.com"/>
    <n v="2"/>
    <s v="user153@example.com"/>
  </r>
  <r>
    <x v="73"/>
    <x v="3"/>
    <s v="SALES"/>
    <s v="india"/>
    <n v="91101"/>
    <d v="2016-05-29T00:00:00"/>
    <n v="4"/>
    <s v="Female"/>
    <s v="user71@example.com"/>
    <n v="26"/>
    <s v="user71@example.com"/>
  </r>
  <r>
    <x v="74"/>
    <x v="5"/>
    <s v="UNKNOWN"/>
    <s v="germany"/>
    <n v="41243"/>
    <d v="2016-06-05T00:00:00"/>
    <n v="3"/>
    <s v="Unknown"/>
    <s v="user143@example.com"/>
    <n v="19"/>
    <s v="user143@example.com"/>
  </r>
  <r>
    <x v="75"/>
    <x v="0"/>
    <s v="SALES"/>
    <s v="unknown"/>
    <n v="96142"/>
    <d v="2016-06-12T00:00:00"/>
    <n v="1"/>
    <s v="Other"/>
    <s v="user17@example.com"/>
    <n v="12"/>
    <s v="user17@example.com"/>
  </r>
  <r>
    <x v="76"/>
    <x v="1"/>
    <s v="IT"/>
    <s v="india"/>
    <n v="94301"/>
    <d v="2016-06-19T00:00:00"/>
    <n v="1"/>
    <s v="Male"/>
    <s v="user20@example.com"/>
    <n v="5"/>
    <s v="user20@example.com"/>
  </r>
  <r>
    <x v="77"/>
    <x v="4"/>
    <s v="UNKNOWN"/>
    <s v="uk"/>
    <n v="69166"/>
    <d v="2016-06-26T00:00:00"/>
    <n v="1"/>
    <s v="Female"/>
    <s v="user22@example.com"/>
    <n v="29"/>
    <s v="user22@example.com"/>
  </r>
  <r>
    <x v="78"/>
    <x v="5"/>
    <s v="UNKNOWN"/>
    <s v="uk"/>
    <n v="78245"/>
    <d v="2016-07-03T00:00:00"/>
    <n v="2"/>
    <s v="Unknown"/>
    <s v="user46@example.com"/>
    <n v="21"/>
    <s v="user46@example.com"/>
  </r>
  <r>
    <x v="79"/>
    <x v="6"/>
    <s v="SALES"/>
    <s v="usa"/>
    <n v="66079"/>
    <d v="2016-07-10T00:00:00"/>
    <n v="2"/>
    <s v="Other"/>
    <s v="user55@example.com"/>
    <n v="14"/>
    <s v="user55@example.com"/>
  </r>
  <r>
    <x v="80"/>
    <x v="1"/>
    <s v="MARKETING"/>
    <s v="india"/>
    <n v="63687"/>
    <s v="Unknown"/>
    <n v="3"/>
    <s v="Unknown"/>
    <s v="user135@example.com"/>
    <n v="0"/>
    <s v="user135@example.com"/>
  </r>
  <r>
    <x v="81"/>
    <x v="4"/>
    <s v="SALES"/>
    <s v="usa"/>
    <n v="95621"/>
    <d v="2016-07-24T00:00:00"/>
    <n v="3"/>
    <s v="Female"/>
    <s v="user156@example.com"/>
    <n v="0"/>
    <s v="user156@example.com"/>
  </r>
  <r>
    <x v="82"/>
    <x v="1"/>
    <s v="IT"/>
    <s v="uk"/>
    <n v="42262"/>
    <d v="2016-07-31T00:00:00"/>
    <n v="1"/>
    <s v="Unknown"/>
    <s v="user104@example.com"/>
    <n v="24"/>
    <s v="user104@example.com"/>
  </r>
  <r>
    <x v="83"/>
    <x v="5"/>
    <s v="SALES"/>
    <s v="india"/>
    <n v="99621"/>
    <d v="2016-08-07T00:00:00"/>
    <n v="3"/>
    <s v="Other"/>
    <s v="user145@example.com"/>
    <n v="17"/>
    <s v="user145@example.com"/>
  </r>
  <r>
    <x v="84"/>
    <x v="3"/>
    <s v="MARKETING"/>
    <s v="india"/>
    <n v="44682"/>
    <d v="2016-08-14T00:00:00"/>
    <n v="4"/>
    <s v="Female"/>
    <s v="user47@example.com"/>
    <n v="10"/>
    <s v="user47@example.com"/>
  </r>
  <r>
    <x v="85"/>
    <x v="6"/>
    <s v="FINANCE"/>
    <s v="unknown"/>
    <n v="35163"/>
    <d v="2016-08-21T00:00:00"/>
    <n v="5"/>
    <s v="Other"/>
    <s v="user197@example.com"/>
    <n v="3"/>
    <s v="user197@example.com"/>
  </r>
  <r>
    <x v="86"/>
    <x v="6"/>
    <s v="IT"/>
    <s v="india"/>
    <n v="33483"/>
    <d v="2016-08-28T00:00:00"/>
    <n v="4"/>
    <s v="Male"/>
    <s v="user177@example.com"/>
    <n v="27"/>
    <s v="user177@example.com"/>
  </r>
  <r>
    <x v="87"/>
    <x v="5"/>
    <s v="HR"/>
    <s v="germany"/>
    <n v="55303"/>
    <d v="2016-09-04T00:00:00"/>
    <n v="4"/>
    <s v="Male"/>
    <s v="user149@example.com"/>
    <n v="20"/>
    <s v="user149@example.com"/>
  </r>
  <r>
    <x v="88"/>
    <x v="6"/>
    <s v="IT"/>
    <s v="unknown"/>
    <n v="63434"/>
    <d v="2016-09-11T00:00:00"/>
    <n v="3"/>
    <s v="Unknown"/>
    <s v="user48@example.com"/>
    <n v="13"/>
    <s v="user48@example.com"/>
  </r>
  <r>
    <x v="89"/>
    <x v="4"/>
    <s v="UNKNOWN"/>
    <s v="australia"/>
    <n v="38830"/>
    <d v="2016-09-18T00:00:00"/>
    <n v="3"/>
    <s v="Other"/>
    <s v="user149@example.com"/>
    <n v="6"/>
    <s v="user149@example.com"/>
  </r>
  <r>
    <x v="90"/>
    <x v="0"/>
    <s v="MARKETING"/>
    <s v="uk"/>
    <n v="50741"/>
    <d v="2016-09-25T00:00:00"/>
    <n v="3"/>
    <s v="Unknown"/>
    <s v="user65@example.com"/>
    <n v="30"/>
    <s v="user65@example.com"/>
  </r>
  <r>
    <x v="91"/>
    <x v="2"/>
    <s v="HR"/>
    <s v="australia"/>
    <n v="69420"/>
    <d v="2016-10-02T00:00:00"/>
    <n v="1"/>
    <s v="Male"/>
    <s v="user43@example.com"/>
    <n v="22"/>
    <s v="user43@example.com"/>
  </r>
  <r>
    <x v="92"/>
    <x v="4"/>
    <s v="IT"/>
    <s v="unknown"/>
    <n v="80588"/>
    <d v="2016-10-09T00:00:00"/>
    <n v="5"/>
    <s v="Male"/>
    <s v="user98@example.com"/>
    <n v="15"/>
    <s v="user98@example.com"/>
  </r>
  <r>
    <x v="93"/>
    <x v="2"/>
    <s v="UNKNOWN"/>
    <s v="usa"/>
    <n v="76238"/>
    <d v="2016-10-16T00:00:00"/>
    <n v="4"/>
    <s v="Male"/>
    <s v="user102@example.com"/>
    <n v="8"/>
    <s v="user102@example.com"/>
  </r>
  <r>
    <x v="94"/>
    <x v="7"/>
    <s v="IT"/>
    <s v="india"/>
    <n v="33264"/>
    <d v="2016-10-23T00:00:00"/>
    <n v="3"/>
    <s v="Female"/>
    <s v="user148@example.com"/>
    <n v="1"/>
    <s v="user148@example.com"/>
  </r>
  <r>
    <x v="95"/>
    <x v="2"/>
    <s v="FINANCE"/>
    <s v="australia"/>
    <n v="96101"/>
    <d v="2016-10-30T00:00:00"/>
    <n v="3"/>
    <s v="Other"/>
    <s v="user155@example.com"/>
    <n v="25"/>
    <s v="user155@example.com"/>
  </r>
  <r>
    <x v="96"/>
    <x v="4"/>
    <s v="FINANCE"/>
    <s v="usa"/>
    <n v="72939"/>
    <d v="2016-11-06T00:00:00"/>
    <n v="3"/>
    <s v="Unknown"/>
    <s v="user191@example.com"/>
    <n v="18"/>
    <s v="user191@example.com"/>
  </r>
  <r>
    <x v="97"/>
    <x v="5"/>
    <s v="HR"/>
    <s v="germany"/>
    <n v="89333"/>
    <d v="2016-11-13T00:00:00"/>
    <n v="1"/>
    <s v="Male"/>
    <s v="user113@example.com"/>
    <n v="11"/>
    <s v="user113@example.com"/>
  </r>
  <r>
    <x v="98"/>
    <x v="7"/>
    <s v="IT"/>
    <s v="australia"/>
    <n v="70470"/>
    <d v="2016-11-20T00:00:00"/>
    <n v="3"/>
    <s v="Male"/>
    <s v="user62@example.com"/>
    <n v="4"/>
    <s v="user62@example.com"/>
  </r>
  <r>
    <x v="99"/>
    <x v="1"/>
    <s v="MARKETING"/>
    <s v="usa"/>
    <n v="70096"/>
    <d v="2016-11-27T00:00:00"/>
    <n v="4"/>
    <s v="Male"/>
    <s v="user76@example.com"/>
    <n v="28"/>
    <s v="user76@example.com"/>
  </r>
  <r>
    <x v="100"/>
    <x v="7"/>
    <s v="MARKETING"/>
    <s v="unknown"/>
    <n v="63687"/>
    <d v="2016-12-04T00:00:00"/>
    <n v="2"/>
    <s v="Other"/>
    <s v="user40@example.com"/>
    <n v="20"/>
    <s v="user40@example.com"/>
  </r>
  <r>
    <x v="101"/>
    <x v="7"/>
    <s v="IT"/>
    <s v="germany"/>
    <n v="66503"/>
    <d v="2016-12-11T00:00:00"/>
    <n v="3"/>
    <s v="Male"/>
    <s v="user200@example.com"/>
    <n v="13"/>
    <s v="user200@example.com"/>
  </r>
  <r>
    <x v="102"/>
    <x v="2"/>
    <s v="HR"/>
    <s v="germany"/>
    <n v="42096"/>
    <d v="2016-12-18T00:00:00"/>
    <n v="3"/>
    <s v="Female"/>
    <s v="user54@example.com"/>
    <n v="6"/>
    <s v="user54@example.com"/>
  </r>
  <r>
    <x v="103"/>
    <x v="2"/>
    <s v="MARKETING"/>
    <s v="unknown"/>
    <n v="79145"/>
    <d v="2016-12-25T00:00:00"/>
    <n v="5"/>
    <s v="Other"/>
    <s v="user20@example.com"/>
    <n v="30"/>
    <s v="user20@example.com"/>
  </r>
  <r>
    <x v="104"/>
    <x v="4"/>
    <s v="UNKNOWN"/>
    <s v="australia"/>
    <n v="61556"/>
    <d v="2017-01-01T00:00:00"/>
    <n v="1"/>
    <s v="Unknown"/>
    <s v="user40@example.com"/>
    <n v="23"/>
    <s v="user40@example.com"/>
  </r>
  <r>
    <x v="105"/>
    <x v="0"/>
    <s v="HR"/>
    <s v="uk"/>
    <n v="87963"/>
    <d v="2017-01-08T00:00:00"/>
    <n v="3"/>
    <s v="Other"/>
    <s v="invalid_email"/>
    <n v="16"/>
    <s v="unknown"/>
  </r>
  <r>
    <x v="106"/>
    <x v="1"/>
    <s v="IT"/>
    <s v="unknown"/>
    <n v="48325"/>
    <d v="2017-01-15T00:00:00"/>
    <n v="3"/>
    <s v="Male"/>
    <s v="user189@example.com"/>
    <n v="9"/>
    <s v="user189@example.com"/>
  </r>
  <r>
    <x v="107"/>
    <x v="5"/>
    <s v="MARKETING"/>
    <s v="australia"/>
    <n v="86412"/>
    <d v="2017-01-22T00:00:00"/>
    <n v="2"/>
    <s v="Female"/>
    <s v="user128@example.com"/>
    <n v="2"/>
    <s v="user128@example.com"/>
  </r>
  <r>
    <x v="108"/>
    <x v="5"/>
    <s v="HR"/>
    <s v="unknown"/>
    <n v="66761"/>
    <d v="2017-01-29T00:00:00"/>
    <n v="1"/>
    <s v="Unknown"/>
    <s v="user93@example.com"/>
    <n v="26"/>
    <s v="user93@example.com"/>
  </r>
  <r>
    <x v="109"/>
    <x v="4"/>
    <s v="UNKNOWN"/>
    <s v="india"/>
    <n v="88850"/>
    <d v="2017-02-05T00:00:00"/>
    <n v="1"/>
    <s v="Female"/>
    <s v="user174@example.com"/>
    <n v="19"/>
    <s v="user174@example.com"/>
  </r>
  <r>
    <x v="110"/>
    <x v="6"/>
    <s v="SALES"/>
    <s v="india"/>
    <n v="31293"/>
    <s v="Unknown"/>
    <n v="2"/>
    <s v="Female"/>
    <s v="user44@example.com"/>
    <n v="0"/>
    <s v="user44@example.com"/>
  </r>
  <r>
    <x v="111"/>
    <x v="6"/>
    <s v="IT"/>
    <s v="usa"/>
    <n v="34306"/>
    <d v="2017-02-19T00:00:00"/>
    <n v="5"/>
    <s v="Female"/>
    <s v="user192@example.com"/>
    <n v="5"/>
    <s v="user192@example.com"/>
  </r>
  <r>
    <x v="112"/>
    <x v="1"/>
    <s v="FINANCE"/>
    <s v="india"/>
    <n v="78330"/>
    <d v="2017-02-26T00:00:00"/>
    <n v="3"/>
    <s v="Other"/>
    <s v="user76@example.com"/>
    <n v="29"/>
    <s v="user76@example.com"/>
  </r>
  <r>
    <x v="113"/>
    <x v="2"/>
    <s v="IT"/>
    <s v="usa"/>
    <n v="47653"/>
    <d v="2017-03-05T00:00:00"/>
    <n v="1"/>
    <s v="Male"/>
    <s v="user82@example.com"/>
    <n v="19"/>
    <s v="user82@example.com"/>
  </r>
  <r>
    <x v="114"/>
    <x v="1"/>
    <s v="MARKETING"/>
    <s v="uk"/>
    <n v="44627"/>
    <d v="2017-03-12T00:00:00"/>
    <n v="4"/>
    <s v="Unknown"/>
    <s v="user97@example.com"/>
    <n v="12"/>
    <s v="user97@example.com"/>
  </r>
  <r>
    <x v="115"/>
    <x v="7"/>
    <s v="HR"/>
    <s v="germany"/>
    <n v="92343"/>
    <d v="2017-03-19T00:00:00"/>
    <n v="4"/>
    <s v="Female"/>
    <s v="user149@example.com"/>
    <n v="5"/>
    <s v="user149@example.com"/>
  </r>
  <r>
    <x v="116"/>
    <x v="7"/>
    <s v="MARKETING"/>
    <s v="australia"/>
    <n v="38837"/>
    <d v="2017-03-26T00:00:00"/>
    <n v="5"/>
    <s v="Female"/>
    <s v="user192@example.com"/>
    <n v="29"/>
    <s v="user192@example.com"/>
  </r>
  <r>
    <x v="117"/>
    <x v="7"/>
    <s v="MARKETING"/>
    <s v="unknown"/>
    <n v="73483"/>
    <d v="2017-04-02T00:00:00"/>
    <n v="1"/>
    <s v="Unknown"/>
    <s v="user137@example.com"/>
    <n v="22"/>
    <s v="user137@example.com"/>
  </r>
  <r>
    <x v="118"/>
    <x v="6"/>
    <s v="SALES"/>
    <s v="india"/>
    <n v="95032"/>
    <d v="2017-04-09T00:00:00"/>
    <n v="3"/>
    <s v="Unknown"/>
    <s v="user23@example.com"/>
    <n v="15"/>
    <s v="user23@example.com"/>
  </r>
  <r>
    <x v="119"/>
    <x v="1"/>
    <s v="SALES"/>
    <s v="australia"/>
    <n v="44358"/>
    <d v="2017-04-16T00:00:00"/>
    <n v="3"/>
    <s v="Female"/>
    <s v="user200@example.com"/>
    <n v="8"/>
    <s v="user200@example.com"/>
  </r>
  <r>
    <x v="120"/>
    <x v="0"/>
    <s v="IT"/>
    <s v="usa"/>
    <n v="66158"/>
    <s v="Unknown"/>
    <n v="5"/>
    <s v="Unknown"/>
    <s v="user101@example.com"/>
    <n v="0"/>
    <s v="user101@example.com"/>
  </r>
  <r>
    <x v="121"/>
    <x v="6"/>
    <s v="SALES"/>
    <s v="usa"/>
    <n v="45676"/>
    <d v="2017-04-30T00:00:00"/>
    <n v="2"/>
    <s v="Unknown"/>
    <s v="user132@example.com"/>
    <n v="25"/>
    <s v="user132@example.com"/>
  </r>
  <r>
    <x v="122"/>
    <x v="7"/>
    <s v="SALES"/>
    <s v="germany"/>
    <n v="52036"/>
    <d v="2017-05-07T00:00:00"/>
    <n v="3"/>
    <s v="Male"/>
    <s v="user171@example.com"/>
    <n v="17"/>
    <s v="user171@example.com"/>
  </r>
  <r>
    <x v="123"/>
    <x v="4"/>
    <s v="UNKNOWN"/>
    <s v="germany"/>
    <n v="30357"/>
    <d v="2017-05-14T00:00:00"/>
    <n v="5"/>
    <s v="Male"/>
    <s v="user145@example.com"/>
    <n v="10"/>
    <s v="user145@example.com"/>
  </r>
  <r>
    <x v="124"/>
    <x v="3"/>
    <s v="IT"/>
    <s v="unknown"/>
    <n v="60034"/>
    <d v="2017-05-21T00:00:00"/>
    <n v="1"/>
    <s v="Female"/>
    <s v="user75@example.com"/>
    <n v="3"/>
    <s v="user75@example.com"/>
  </r>
  <r>
    <x v="125"/>
    <x v="3"/>
    <s v="FINANCE"/>
    <s v="unknown"/>
    <n v="90019"/>
    <d v="2017-05-28T00:00:00"/>
    <n v="5"/>
    <s v="Unknown"/>
    <s v="user52@example.com"/>
    <n v="27"/>
    <s v="user52@example.com"/>
  </r>
  <r>
    <x v="126"/>
    <x v="7"/>
    <s v="UNKNOWN"/>
    <s v="germany"/>
    <n v="71494"/>
    <d v="2017-06-04T00:00:00"/>
    <n v="3"/>
    <s v="Male"/>
    <s v="user100@example.com"/>
    <n v="20"/>
    <s v="user100@example.com"/>
  </r>
  <r>
    <x v="127"/>
    <x v="3"/>
    <s v="FINANCE"/>
    <s v="usa"/>
    <n v="91953"/>
    <d v="2017-06-11T00:00:00"/>
    <n v="2"/>
    <s v="Male"/>
    <s v="user83@example.com"/>
    <n v="13"/>
    <s v="user83@example.com"/>
  </r>
  <r>
    <x v="128"/>
    <x v="6"/>
    <s v="SALES"/>
    <s v="usa"/>
    <n v="30402"/>
    <d v="2017-06-18T00:00:00"/>
    <n v="1"/>
    <s v="Unknown"/>
    <s v="user167@example.com"/>
    <n v="6"/>
    <s v="user167@example.com"/>
  </r>
  <r>
    <x v="129"/>
    <x v="7"/>
    <s v="UNKNOWN"/>
    <s v="uk"/>
    <n v="62994"/>
    <d v="2017-06-25T00:00:00"/>
    <n v="3"/>
    <s v="Unknown"/>
    <s v="user175@example.com"/>
    <n v="30"/>
    <s v="user175@example.com"/>
  </r>
  <r>
    <x v="130"/>
    <x v="2"/>
    <s v="SALES"/>
    <s v="india"/>
    <n v="48289"/>
    <s v="Unknown"/>
    <n v="3"/>
    <s v="Male"/>
    <s v="user25@example.com"/>
    <n v="0"/>
    <s v="user25@example.com"/>
  </r>
  <r>
    <x v="131"/>
    <x v="5"/>
    <s v="MARKETING"/>
    <s v="germany"/>
    <n v="34402"/>
    <d v="2017-07-09T00:00:00"/>
    <n v="3"/>
    <s v="Other"/>
    <s v="user42@example.com"/>
    <n v="15"/>
    <s v="user42@example.com"/>
  </r>
  <r>
    <x v="132"/>
    <x v="1"/>
    <s v="HR"/>
    <s v="usa"/>
    <n v="38678"/>
    <d v="2017-07-16T00:00:00"/>
    <n v="3"/>
    <s v="Other"/>
    <s v="user188@example.com"/>
    <n v="8"/>
    <s v="user188@example.com"/>
  </r>
  <r>
    <x v="133"/>
    <x v="6"/>
    <s v="HR"/>
    <s v="germany"/>
    <n v="45758"/>
    <d v="2017-07-23T00:00:00"/>
    <n v="3"/>
    <s v="Unknown"/>
    <s v="user44@example.com"/>
    <n v="1"/>
    <s v="user44@example.com"/>
  </r>
  <r>
    <x v="134"/>
    <x v="1"/>
    <s v="MARKETING"/>
    <s v="india"/>
    <n v="62476"/>
    <d v="2017-07-30T00:00:00"/>
    <n v="1"/>
    <s v="Other"/>
    <s v="user63@example.com"/>
    <n v="25"/>
    <s v="user63@example.com"/>
  </r>
  <r>
    <x v="135"/>
    <x v="0"/>
    <s v="IT"/>
    <s v="uk"/>
    <n v="39280"/>
    <d v="2017-08-06T00:00:00"/>
    <n v="3"/>
    <s v="Female"/>
    <s v="user198@example.com"/>
    <n v="18"/>
    <s v="user198@example.com"/>
  </r>
  <r>
    <x v="136"/>
    <x v="4"/>
    <s v="FINANCE"/>
    <s v="india"/>
    <n v="60335"/>
    <d v="2017-08-13T00:00:00"/>
    <n v="4"/>
    <s v="Other"/>
    <s v="user59@example.com"/>
    <n v="11"/>
    <s v="user59@example.com"/>
  </r>
  <r>
    <x v="137"/>
    <x v="6"/>
    <s v="HR"/>
    <s v="germany"/>
    <n v="84968"/>
    <d v="2017-08-20T00:00:00"/>
    <n v="3"/>
    <s v="Unknown"/>
    <s v="user165@example.com"/>
    <n v="4"/>
    <s v="user165@example.com"/>
  </r>
  <r>
    <x v="138"/>
    <x v="6"/>
    <s v="MARKETING"/>
    <s v="australia"/>
    <n v="84750"/>
    <d v="2017-08-27T00:00:00"/>
    <n v="4"/>
    <s v="Female"/>
    <s v="user3@example.com"/>
    <n v="28"/>
    <s v="user3@example.com"/>
  </r>
  <r>
    <x v="139"/>
    <x v="7"/>
    <s v="IT"/>
    <s v="unknown"/>
    <n v="73348"/>
    <d v="2017-09-03T00:00:00"/>
    <n v="2"/>
    <s v="Unknown"/>
    <s v="user22@example.com"/>
    <n v="21"/>
    <s v="user22@example.com"/>
  </r>
  <r>
    <x v="140"/>
    <x v="6"/>
    <s v="SALES"/>
    <s v="usa"/>
    <n v="67929"/>
    <d v="2017-09-10T00:00:00"/>
    <n v="4"/>
    <s v="Other"/>
    <s v="invalid_email"/>
    <n v="14"/>
    <s v="unknown"/>
  </r>
  <r>
    <x v="141"/>
    <x v="4"/>
    <s v="MARKETING"/>
    <s v="usa"/>
    <n v="66882"/>
    <d v="2017-09-17T00:00:00"/>
    <n v="5"/>
    <s v="Other"/>
    <s v="user103@example.com"/>
    <n v="7"/>
    <s v="user103@example.com"/>
  </r>
  <r>
    <x v="142"/>
    <x v="2"/>
    <s v="MARKETING"/>
    <s v="unknown"/>
    <n v="86775"/>
    <d v="2017-09-24T00:00:00"/>
    <n v="3"/>
    <s v="Other"/>
    <s v="user190@example.com"/>
    <n v="0"/>
    <s v="user190@example.com"/>
  </r>
  <r>
    <x v="143"/>
    <x v="6"/>
    <s v="SALES"/>
    <s v="uk"/>
    <n v="91620"/>
    <d v="2017-10-01T00:00:00"/>
    <n v="3"/>
    <s v="Unknown"/>
    <s v="user114@example.com"/>
    <n v="23"/>
    <s v="user114@example.com"/>
  </r>
  <r>
    <x v="144"/>
    <x v="1"/>
    <s v="UNKNOWN"/>
    <s v="unknown"/>
    <n v="94148"/>
    <d v="2017-10-08T00:00:00"/>
    <n v="2"/>
    <s v="Unknown"/>
    <s v="user53@example.com"/>
    <n v="16"/>
    <s v="user53@example.com"/>
  </r>
  <r>
    <x v="145"/>
    <x v="5"/>
    <s v="SALES"/>
    <s v="australia"/>
    <n v="35627"/>
    <d v="2017-10-15T00:00:00"/>
    <n v="5"/>
    <s v="Female"/>
    <s v="user188@example.com"/>
    <n v="9"/>
    <s v="user188@example.com"/>
  </r>
  <r>
    <x v="146"/>
    <x v="3"/>
    <s v="MARKETING"/>
    <s v="usa"/>
    <n v="57141"/>
    <d v="2017-10-22T00:00:00"/>
    <n v="2"/>
    <s v="Unknown"/>
    <s v="user165@example.com"/>
    <n v="2"/>
    <s v="user165@example.com"/>
  </r>
  <r>
    <x v="147"/>
    <x v="7"/>
    <s v="SALES"/>
    <s v="australia"/>
    <n v="65270"/>
    <d v="2017-10-29T00:00:00"/>
    <n v="1"/>
    <s v="Unknown"/>
    <s v="user163@example.com"/>
    <n v="26"/>
    <s v="user163@example.com"/>
  </r>
  <r>
    <x v="148"/>
    <x v="7"/>
    <s v="UNKNOWN"/>
    <s v="uk"/>
    <n v="67335"/>
    <d v="2017-11-05T00:00:00"/>
    <n v="1"/>
    <s v="Other"/>
    <s v="user112@example.com"/>
    <n v="19"/>
    <s v="user112@example.com"/>
  </r>
  <r>
    <x v="149"/>
    <x v="5"/>
    <s v="MARKETING"/>
    <s v="india"/>
    <n v="98475"/>
    <d v="2017-11-12T00:00:00"/>
    <n v="5"/>
    <s v="Other"/>
    <s v="user30@example.com"/>
    <n v="12"/>
    <s v="user30@example.co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s v="FINANCE"/>
    <x v="0"/>
    <n v="65605"/>
    <s v="Unknown"/>
    <n v="2"/>
    <s v="Unknown"/>
    <s v="invalid_email"/>
    <n v="0"/>
    <s v="unknown"/>
  </r>
  <r>
    <x v="1"/>
    <s v="Eve Adams"/>
    <s v="HR"/>
    <x v="1"/>
    <n v="54255"/>
    <d v="2015-01-11T00:00:00"/>
    <n v="1"/>
    <s v="Other"/>
    <s v="user106@example.com"/>
    <n v="13"/>
    <s v="user106@example.com"/>
  </r>
  <r>
    <x v="2"/>
    <s v="Alice Brown"/>
    <s v="FINANCE"/>
    <x v="1"/>
    <n v="63184"/>
    <d v="2015-01-18T00:00:00"/>
    <n v="2"/>
    <s v="Unknown"/>
    <s v="user176@example.com"/>
    <n v="6"/>
    <s v="user176@example.com"/>
  </r>
  <r>
    <x v="3"/>
    <s v="John Doe"/>
    <s v="SALES"/>
    <x v="2"/>
    <n v="94406"/>
    <d v="2015-01-25T00:00:00"/>
    <n v="1"/>
    <s v="Male"/>
    <s v="user168@example.com"/>
    <n v="30"/>
    <s v="user168@example.com"/>
  </r>
  <r>
    <x v="4"/>
    <s v="Jane Smith"/>
    <s v="SALES"/>
    <x v="1"/>
    <n v="64120"/>
    <d v="2015-02-01T00:00:00"/>
    <n v="1"/>
    <s v="Male"/>
    <s v="user49@example.com"/>
    <n v="23"/>
    <s v="user49@example.com"/>
  </r>
  <r>
    <x v="5"/>
    <s v="Alice Brown"/>
    <s v="IT"/>
    <x v="3"/>
    <n v="78421"/>
    <d v="2015-02-08T00:00:00"/>
    <n v="2"/>
    <s v="Female"/>
    <s v="user24@example.com"/>
    <n v="16"/>
    <s v="user24@example.com"/>
  </r>
  <r>
    <x v="6"/>
    <s v="Sam Wilson"/>
    <s v="SALES"/>
    <x v="0"/>
    <n v="67721"/>
    <d v="2015-02-15T00:00:00"/>
    <n v="3"/>
    <s v="Male"/>
    <s v="user168@example.com"/>
    <n v="9"/>
    <s v="user168@example.com"/>
  </r>
  <r>
    <x v="7"/>
    <s v="Chris Lee"/>
    <s v="MARKETING"/>
    <x v="0"/>
    <n v="35364"/>
    <d v="2015-02-22T00:00:00"/>
    <n v="2"/>
    <s v="Other"/>
    <s v="user26@example.com"/>
    <n v="2"/>
    <s v="user26@example.com"/>
  </r>
  <r>
    <x v="8"/>
    <s v="Alice Brown"/>
    <s v="IT"/>
    <x v="1"/>
    <n v="97881"/>
    <d v="2015-03-01T00:00:00"/>
    <n v="3"/>
    <s v="Female"/>
    <s v="user25@example.com"/>
    <n v="23"/>
    <s v="user25@example.com"/>
  </r>
  <r>
    <x v="9"/>
    <s v="Chris Lee"/>
    <s v="HR"/>
    <x v="4"/>
    <n v="91846"/>
    <d v="2015-03-08T00:00:00"/>
    <n v="3"/>
    <s v="Male"/>
    <s v="user153@example.com"/>
    <n v="16"/>
    <s v="user153@example.com"/>
  </r>
  <r>
    <x v="10"/>
    <s v="Sam Wilson"/>
    <s v="FINANCE"/>
    <x v="4"/>
    <n v="64247"/>
    <d v="2015-03-15T00:00:00"/>
    <n v="1"/>
    <s v="Female"/>
    <s v="user18@example.com"/>
    <n v="9"/>
    <s v="user18@example.com"/>
  </r>
  <r>
    <x v="11"/>
    <s v="Sam Wilson"/>
    <s v="IT"/>
    <x v="2"/>
    <n v="91180"/>
    <d v="2015-03-22T00:00:00"/>
    <n v="5"/>
    <s v="Male"/>
    <s v="user1@example.com"/>
    <n v="2"/>
    <s v="user1@example.com"/>
  </r>
  <r>
    <x v="12"/>
    <s v="Bob Johnson"/>
    <s v="SALES"/>
    <x v="0"/>
    <n v="96418"/>
    <d v="2015-03-29T00:00:00"/>
    <n v="5"/>
    <s v="Male"/>
    <s v="user106@example.com"/>
    <n v="26"/>
    <s v="user106@example.com"/>
  </r>
  <r>
    <x v="13"/>
    <s v="Sam Wilson"/>
    <s v="UNKNOWN"/>
    <x v="3"/>
    <n v="62158"/>
    <d v="2015-04-05T00:00:00"/>
    <n v="4"/>
    <s v="Unknown"/>
    <s v="user180@example.com"/>
    <n v="19"/>
    <s v="user180@example.com"/>
  </r>
  <r>
    <x v="14"/>
    <s v="Jane Smith"/>
    <s v="HR"/>
    <x v="0"/>
    <n v="59894"/>
    <d v="2015-04-12T00:00:00"/>
    <n v="2"/>
    <s v="Male"/>
    <s v="user184@example.com"/>
    <n v="12"/>
    <s v="user184@example.com"/>
  </r>
  <r>
    <x v="15"/>
    <s v="Unknown"/>
    <s v="IT"/>
    <x v="3"/>
    <n v="92443"/>
    <d v="2015-04-19T00:00:00"/>
    <n v="3"/>
    <s v="Other"/>
    <s v="user3@example.com"/>
    <n v="5"/>
    <s v="user3@example.com"/>
  </r>
  <r>
    <x v="16"/>
    <s v="Bob Johnson"/>
    <s v="UNKNOWN"/>
    <x v="1"/>
    <n v="90271"/>
    <d v="2015-04-26T00:00:00"/>
    <n v="3"/>
    <s v="Unknown"/>
    <s v="user64@example.com"/>
    <n v="29"/>
    <s v="user64@example.com"/>
  </r>
  <r>
    <x v="17"/>
    <s v="Jane Smith"/>
    <s v="FINANCE"/>
    <x v="5"/>
    <n v="41341"/>
    <d v="2015-05-03T00:00:00"/>
    <n v="1"/>
    <s v="Other"/>
    <s v="user38@example.com"/>
    <n v="21"/>
    <s v="user38@example.com"/>
  </r>
  <r>
    <x v="18"/>
    <s v="Alice Brown"/>
    <s v="FINANCE"/>
    <x v="4"/>
    <n v="73602"/>
    <d v="2015-05-10T00:00:00"/>
    <n v="3"/>
    <s v="Unknown"/>
    <s v="user96@example.com"/>
    <n v="14"/>
    <s v="user96@example.com"/>
  </r>
  <r>
    <x v="19"/>
    <s v="Eve Adams"/>
    <s v="UNKNOWN"/>
    <x v="3"/>
    <n v="67531"/>
    <d v="2015-05-17T00:00:00"/>
    <n v="5"/>
    <s v="Female"/>
    <s v="user151@example.com"/>
    <n v="7"/>
    <s v="user151@example.com"/>
  </r>
  <r>
    <x v="20"/>
    <s v="Jane Smith"/>
    <s v="HR"/>
    <x v="2"/>
    <n v="67835"/>
    <d v="2015-05-24T00:00:00"/>
    <n v="2"/>
    <s v="Other"/>
    <s v="user200@example.com"/>
    <n v="0"/>
    <s v="user200@example.com"/>
  </r>
  <r>
    <x v="21"/>
    <s v="Jane Smith"/>
    <s v="HR"/>
    <x v="0"/>
    <n v="98922"/>
    <d v="2015-05-31T00:00:00"/>
    <n v="4"/>
    <s v="Unknown"/>
    <s v="user77@example.com"/>
    <n v="24"/>
    <s v="user77@example.com"/>
  </r>
  <r>
    <x v="22"/>
    <s v="Eve Adams"/>
    <s v="FINANCE"/>
    <x v="3"/>
    <n v="38333"/>
    <d v="2015-06-07T00:00:00"/>
    <n v="5"/>
    <s v="Unknown"/>
    <s v="user128@example.com"/>
    <n v="17"/>
    <s v="user128@example.com"/>
  </r>
  <r>
    <x v="23"/>
    <s v="Alice Brown"/>
    <s v="MARKETING"/>
    <x v="4"/>
    <n v="36515"/>
    <d v="2015-06-14T00:00:00"/>
    <n v="3"/>
    <s v="Male"/>
    <s v="user149@example.com"/>
    <n v="10"/>
    <s v="user149@example.com"/>
  </r>
  <r>
    <x v="24"/>
    <s v="Sam Wilson"/>
    <s v="FINANCE"/>
    <x v="0"/>
    <n v="91005"/>
    <d v="2015-06-21T00:00:00"/>
    <n v="1"/>
    <s v="Other"/>
    <s v="user122@example.com"/>
    <n v="3"/>
    <s v="user122@example.com"/>
  </r>
  <r>
    <x v="25"/>
    <s v="Chris Lee"/>
    <s v="UNKNOWN"/>
    <x v="0"/>
    <n v="52272"/>
    <d v="2015-06-28T00:00:00"/>
    <n v="3"/>
    <s v="Unknown"/>
    <s v="user41@example.com"/>
    <n v="27"/>
    <s v="user41@example.com"/>
  </r>
  <r>
    <x v="26"/>
    <s v="Eve Adams"/>
    <s v="SALES"/>
    <x v="1"/>
    <n v="76518"/>
    <d v="2015-07-05T00:00:00"/>
    <n v="2"/>
    <s v="Female"/>
    <s v="user68@example.com"/>
    <n v="19"/>
    <s v="user68@example.com"/>
  </r>
  <r>
    <x v="27"/>
    <s v="Alice Brown"/>
    <s v="IT"/>
    <x v="4"/>
    <n v="41448"/>
    <d v="2015-07-12T00:00:00"/>
    <n v="3"/>
    <s v="Other"/>
    <s v="user103@example.com"/>
    <n v="12"/>
    <s v="user103@example.com"/>
  </r>
  <r>
    <x v="28"/>
    <s v="John Doe"/>
    <s v="HR"/>
    <x v="4"/>
    <n v="49282"/>
    <d v="2015-07-19T00:00:00"/>
    <n v="2"/>
    <s v="Female"/>
    <s v="user135@example.com"/>
    <n v="5"/>
    <s v="user135@example.com"/>
  </r>
  <r>
    <x v="29"/>
    <s v="Bob Johnson"/>
    <s v="MARKETING"/>
    <x v="4"/>
    <n v="92959"/>
    <d v="2015-07-26T00:00:00"/>
    <n v="5"/>
    <s v="Unknown"/>
    <s v="user83@example.com"/>
    <n v="29"/>
    <s v="user83@example.com"/>
  </r>
  <r>
    <x v="30"/>
    <s v="Unknown"/>
    <s v="MARKETING"/>
    <x v="0"/>
    <n v="92259"/>
    <s v="Unknown"/>
    <n v="1"/>
    <s v="Unknown"/>
    <s v="user109@example.com"/>
    <n v="0"/>
    <s v="user109@example.com"/>
  </r>
  <r>
    <x v="31"/>
    <s v="Eve Adams"/>
    <s v="HR"/>
    <x v="1"/>
    <n v="92299"/>
    <d v="2015-08-09T00:00:00"/>
    <n v="3"/>
    <s v="Male"/>
    <s v="user143@example.com"/>
    <n v="15"/>
    <s v="user143@example.com"/>
  </r>
  <r>
    <x v="32"/>
    <s v="Sam Wilson"/>
    <s v="HR"/>
    <x v="0"/>
    <n v="95586"/>
    <d v="2015-08-16T00:00:00"/>
    <n v="3"/>
    <s v="Other"/>
    <s v="user190@example.com"/>
    <n v="8"/>
    <s v="user190@example.com"/>
  </r>
  <r>
    <x v="33"/>
    <s v="Chris Lee"/>
    <s v="UNKNOWN"/>
    <x v="2"/>
    <n v="95367"/>
    <d v="2015-08-23T00:00:00"/>
    <n v="3"/>
    <s v="Male"/>
    <s v="user136@example.com"/>
    <n v="1"/>
    <s v="user136@example.com"/>
  </r>
  <r>
    <x v="34"/>
    <s v="John Doe"/>
    <s v="SALES"/>
    <x v="5"/>
    <n v="79549"/>
    <d v="2015-08-30T00:00:00"/>
    <n v="3"/>
    <s v="Unknown"/>
    <s v="user198@example.com"/>
    <n v="25"/>
    <s v="user198@example.com"/>
  </r>
  <r>
    <x v="35"/>
    <s v="Alice Brown"/>
    <s v="UNKNOWN"/>
    <x v="4"/>
    <n v="54463"/>
    <d v="2015-09-06T00:00:00"/>
    <n v="4"/>
    <s v="Male"/>
    <s v="invalid_email"/>
    <n v="18"/>
    <s v="unknown"/>
  </r>
  <r>
    <x v="36"/>
    <s v="Alice Brown"/>
    <s v="IT"/>
    <x v="2"/>
    <n v="89781"/>
    <d v="2015-09-13T00:00:00"/>
    <n v="3"/>
    <s v="Female"/>
    <s v="user31@example.com"/>
    <n v="11"/>
    <s v="user31@example.com"/>
  </r>
  <r>
    <x v="37"/>
    <s v="Alice Brown"/>
    <s v="HR"/>
    <x v="0"/>
    <n v="64796"/>
    <d v="2015-09-20T00:00:00"/>
    <n v="3"/>
    <s v="Other"/>
    <s v="user98@example.com"/>
    <n v="4"/>
    <s v="user98@example.com"/>
  </r>
  <r>
    <x v="38"/>
    <s v="John Doe"/>
    <s v="MARKETING"/>
    <x v="4"/>
    <n v="52093"/>
    <d v="2015-09-27T00:00:00"/>
    <n v="5"/>
    <s v="Unknown"/>
    <s v="user154@example.com"/>
    <n v="28"/>
    <s v="user154@example.com"/>
  </r>
  <r>
    <x v="39"/>
    <s v="Chris Lee"/>
    <s v="HR"/>
    <x v="4"/>
    <n v="48224"/>
    <d v="2015-10-04T00:00:00"/>
    <n v="3"/>
    <s v="Unknown"/>
    <s v="user42@example.com"/>
    <n v="20"/>
    <s v="user42@example.com"/>
  </r>
  <r>
    <x v="40"/>
    <s v="Bob Johnson"/>
    <s v="FINANCE"/>
    <x v="4"/>
    <n v="65605"/>
    <s v="Unknown"/>
    <n v="4"/>
    <s v="Female"/>
    <s v="user89@example.com"/>
    <n v="0"/>
    <s v="user89@example.com"/>
  </r>
  <r>
    <x v="41"/>
    <s v="Alice Brown"/>
    <s v="IT"/>
    <x v="1"/>
    <n v="33956"/>
    <d v="2015-10-18T00:00:00"/>
    <n v="3"/>
    <s v="Unknown"/>
    <s v="user47@example.com"/>
    <n v="6"/>
    <s v="user47@example.com"/>
  </r>
  <r>
    <x v="42"/>
    <s v="Bob Johnson"/>
    <s v="UNKNOWN"/>
    <x v="5"/>
    <n v="64913"/>
    <d v="2015-10-25T00:00:00"/>
    <n v="1"/>
    <s v="Female"/>
    <s v="user175@example.com"/>
    <n v="30"/>
    <s v="user175@example.com"/>
  </r>
  <r>
    <x v="43"/>
    <s v="Alice Brown"/>
    <s v="MARKETING"/>
    <x v="5"/>
    <n v="35326"/>
    <d v="2015-11-01T00:00:00"/>
    <n v="3"/>
    <s v="Female"/>
    <s v="user57@example.com"/>
    <n v="23"/>
    <s v="user57@example.com"/>
  </r>
  <r>
    <x v="44"/>
    <s v="Chris Lee"/>
    <s v="FINANCE"/>
    <x v="0"/>
    <n v="81610"/>
    <d v="2015-11-08T00:00:00"/>
    <n v="1"/>
    <s v="Unknown"/>
    <s v="user20@example.com"/>
    <n v="16"/>
    <s v="user20@example.com"/>
  </r>
  <r>
    <x v="45"/>
    <s v="Unknown"/>
    <s v="HR"/>
    <x v="0"/>
    <n v="58962"/>
    <d v="2015-11-15T00:00:00"/>
    <n v="3"/>
    <s v="Other"/>
    <s v="user106@example.com"/>
    <n v="9"/>
    <s v="user106@example.com"/>
  </r>
  <r>
    <x v="46"/>
    <s v="Chris Lee"/>
    <s v="IT"/>
    <x v="1"/>
    <n v="92701"/>
    <d v="2015-11-22T00:00:00"/>
    <n v="3"/>
    <s v="Other"/>
    <s v="user199@example.com"/>
    <n v="2"/>
    <s v="user199@example.com"/>
  </r>
  <r>
    <x v="47"/>
    <s v="Chris Lee"/>
    <s v="HR"/>
    <x v="3"/>
    <n v="58245"/>
    <d v="2015-11-29T00:00:00"/>
    <n v="4"/>
    <s v="Unknown"/>
    <s v="user43@example.com"/>
    <n v="26"/>
    <s v="user43@example.com"/>
  </r>
  <r>
    <x v="48"/>
    <s v="John Doe"/>
    <s v="FINANCE"/>
    <x v="0"/>
    <n v="66513"/>
    <d v="2015-12-06T00:00:00"/>
    <n v="2"/>
    <s v="Other"/>
    <s v="user24@example.com"/>
    <n v="18"/>
    <s v="user24@example.com"/>
  </r>
  <r>
    <x v="49"/>
    <s v="Eve Adams"/>
    <s v="HR"/>
    <x v="1"/>
    <n v="78720"/>
    <d v="2015-12-13T00:00:00"/>
    <n v="5"/>
    <s v="Female"/>
    <s v="user89@example.com"/>
    <n v="11"/>
    <s v="user89@example.com"/>
  </r>
  <r>
    <x v="50"/>
    <s v="Chris Lee"/>
    <s v="UNKNOWN"/>
    <x v="0"/>
    <n v="30686"/>
    <s v="Unknown"/>
    <n v="2"/>
    <s v="Female"/>
    <s v="user95@example.com"/>
    <n v="0"/>
    <s v="user95@example.com"/>
  </r>
  <r>
    <x v="51"/>
    <s v="Sam Wilson"/>
    <s v="SALES"/>
    <x v="3"/>
    <n v="39423"/>
    <d v="2015-12-27T00:00:00"/>
    <n v="5"/>
    <s v="Unknown"/>
    <s v="user59@example.com"/>
    <n v="28"/>
    <s v="user59@example.com"/>
  </r>
  <r>
    <x v="52"/>
    <s v="Eve Adams"/>
    <s v="MARKETING"/>
    <x v="0"/>
    <n v="30280"/>
    <d v="2016-01-03T00:00:00"/>
    <n v="1"/>
    <s v="Unknown"/>
    <s v="user152@example.com"/>
    <n v="21"/>
    <s v="user152@example.com"/>
  </r>
  <r>
    <x v="53"/>
    <s v="Eve Adams"/>
    <s v="FINANCE"/>
    <x v="4"/>
    <n v="33352"/>
    <d v="2016-01-10T00:00:00"/>
    <n v="3"/>
    <s v="Female"/>
    <s v="user200@example.com"/>
    <n v="14"/>
    <s v="user200@example.com"/>
  </r>
  <r>
    <x v="54"/>
    <s v="Bob Johnson"/>
    <s v="MARKETING"/>
    <x v="4"/>
    <n v="75633"/>
    <d v="2016-01-17T00:00:00"/>
    <n v="5"/>
    <s v="Other"/>
    <s v="user92@example.com"/>
    <n v="7"/>
    <s v="user92@example.com"/>
  </r>
  <r>
    <x v="55"/>
    <s v="Chris Lee"/>
    <s v="UNKNOWN"/>
    <x v="2"/>
    <n v="74815"/>
    <d v="2016-01-24T00:00:00"/>
    <n v="5"/>
    <s v="Female"/>
    <s v="user50@example.com"/>
    <n v="0"/>
    <s v="user50@example.com"/>
  </r>
  <r>
    <x v="56"/>
    <s v="John Doe"/>
    <s v="SALES"/>
    <x v="5"/>
    <n v="60011"/>
    <d v="2016-01-31T00:00:00"/>
    <n v="1"/>
    <s v="Male"/>
    <s v="user63@example.com"/>
    <n v="24"/>
    <s v="user63@example.com"/>
  </r>
  <r>
    <x v="57"/>
    <s v="Eve Adams"/>
    <s v="UNKNOWN"/>
    <x v="3"/>
    <n v="96949"/>
    <d v="2016-02-07T00:00:00"/>
    <n v="3"/>
    <s v="Unknown"/>
    <s v="user103@example.com"/>
    <n v="17"/>
    <s v="user103@example.com"/>
  </r>
  <r>
    <x v="58"/>
    <s v="Sam Wilson"/>
    <s v="MARKETING"/>
    <x v="0"/>
    <n v="84924"/>
    <d v="2016-02-14T00:00:00"/>
    <n v="5"/>
    <s v="Male"/>
    <s v="user150@example.com"/>
    <n v="10"/>
    <s v="user150@example.com"/>
  </r>
  <r>
    <x v="59"/>
    <s v="Sam Wilson"/>
    <s v="FINANCE"/>
    <x v="2"/>
    <n v="82033"/>
    <d v="2016-02-21T00:00:00"/>
    <n v="1"/>
    <s v="Unknown"/>
    <s v="user20@example.com"/>
    <n v="3"/>
    <s v="user20@example.com"/>
  </r>
  <r>
    <x v="60"/>
    <s v="Unknown"/>
    <s v="MARKETING"/>
    <x v="1"/>
    <n v="63687"/>
    <s v="Unknown"/>
    <n v="5"/>
    <s v="Unknown"/>
    <s v="user112@example.com"/>
    <n v="0"/>
    <s v="user112@example.com"/>
  </r>
  <r>
    <x v="61"/>
    <s v="Eve Adams"/>
    <s v="UNKNOWN"/>
    <x v="5"/>
    <n v="31499"/>
    <d v="2016-03-06T00:00:00"/>
    <n v="2"/>
    <s v="Unknown"/>
    <s v="user31@example.com"/>
    <n v="18"/>
    <s v="user31@example.com"/>
  </r>
  <r>
    <x v="62"/>
    <s v="Chris Lee"/>
    <s v="IT"/>
    <x v="4"/>
    <n v="97981"/>
    <d v="2016-03-13T00:00:00"/>
    <n v="5"/>
    <s v="Female"/>
    <s v="user71@example.com"/>
    <n v="11"/>
    <s v="user71@example.com"/>
  </r>
  <r>
    <x v="63"/>
    <s v="Eve Adams"/>
    <s v="HR"/>
    <x v="2"/>
    <n v="36541"/>
    <d v="2016-03-20T00:00:00"/>
    <n v="2"/>
    <s v="Other"/>
    <s v="user97@example.com"/>
    <n v="4"/>
    <s v="user97@example.com"/>
  </r>
  <r>
    <x v="64"/>
    <s v="John Doe"/>
    <s v="IT"/>
    <x v="3"/>
    <n v="84737"/>
    <d v="2016-03-27T00:00:00"/>
    <n v="1"/>
    <s v="Male"/>
    <s v="user141@example.com"/>
    <n v="28"/>
    <s v="user141@example.com"/>
  </r>
  <r>
    <x v="65"/>
    <s v="Sam Wilson"/>
    <s v="FINANCE"/>
    <x v="3"/>
    <n v="33468"/>
    <d v="2016-04-03T00:00:00"/>
    <n v="4"/>
    <s v="Male"/>
    <s v="user125@example.com"/>
    <n v="21"/>
    <s v="user125@example.com"/>
  </r>
  <r>
    <x v="66"/>
    <s v="Sam Wilson"/>
    <s v="UNKNOWN"/>
    <x v="5"/>
    <n v="96365"/>
    <d v="2016-04-10T00:00:00"/>
    <n v="3"/>
    <s v="Other"/>
    <s v="user90@example.com"/>
    <n v="14"/>
    <s v="user90@example.com"/>
  </r>
  <r>
    <x v="67"/>
    <s v="Alice Brown"/>
    <s v="SALES"/>
    <x v="3"/>
    <n v="61942"/>
    <d v="2016-04-17T00:00:00"/>
    <n v="3"/>
    <s v="Female"/>
    <s v="user192@example.com"/>
    <n v="7"/>
    <s v="user192@example.com"/>
  </r>
  <r>
    <x v="68"/>
    <s v="Sam Wilson"/>
    <s v="FINANCE"/>
    <x v="4"/>
    <n v="41467"/>
    <d v="2016-04-24T00:00:00"/>
    <n v="2"/>
    <s v="Unknown"/>
    <s v="user77@example.com"/>
    <n v="0"/>
    <s v="user77@example.com"/>
  </r>
  <r>
    <x v="69"/>
    <s v="Bob Johnson"/>
    <s v="FINANCE"/>
    <x v="3"/>
    <n v="77096"/>
    <d v="2016-05-01T00:00:00"/>
    <n v="1"/>
    <s v="Unknown"/>
    <s v="user65@example.com"/>
    <n v="23"/>
    <s v="user65@example.com"/>
  </r>
  <r>
    <x v="70"/>
    <s v="Eve Adams"/>
    <s v="SALES"/>
    <x v="5"/>
    <n v="69952"/>
    <d v="2016-05-08T00:00:00"/>
    <n v="5"/>
    <s v="Female"/>
    <s v="invalid_email"/>
    <n v="16"/>
    <s v="unknown"/>
  </r>
  <r>
    <x v="71"/>
    <s v="Eve Adams"/>
    <s v="MARKETING"/>
    <x v="2"/>
    <n v="85065"/>
    <d v="2016-05-15T00:00:00"/>
    <n v="3"/>
    <s v="Unknown"/>
    <s v="user142@example.com"/>
    <n v="9"/>
    <s v="user142@example.com"/>
  </r>
  <r>
    <x v="72"/>
    <s v="Bob Johnson"/>
    <s v="MARKETING"/>
    <x v="3"/>
    <n v="56512"/>
    <d v="2016-05-22T00:00:00"/>
    <n v="3"/>
    <s v="Other"/>
    <s v="user153@example.com"/>
    <n v="2"/>
    <s v="user153@example.com"/>
  </r>
  <r>
    <x v="73"/>
    <s v="John Doe"/>
    <s v="SALES"/>
    <x v="3"/>
    <n v="91101"/>
    <d v="2016-05-29T00:00:00"/>
    <n v="4"/>
    <s v="Female"/>
    <s v="user71@example.com"/>
    <n v="26"/>
    <s v="user71@example.com"/>
  </r>
  <r>
    <x v="74"/>
    <s v="Sam Wilson"/>
    <s v="UNKNOWN"/>
    <x v="1"/>
    <n v="41243"/>
    <d v="2016-06-05T00:00:00"/>
    <n v="3"/>
    <s v="Unknown"/>
    <s v="user143@example.com"/>
    <n v="19"/>
    <s v="user143@example.com"/>
  </r>
  <r>
    <x v="75"/>
    <s v="Unknown"/>
    <s v="SALES"/>
    <x v="0"/>
    <n v="96142"/>
    <d v="2016-06-12T00:00:00"/>
    <n v="1"/>
    <s v="Other"/>
    <s v="user17@example.com"/>
    <n v="12"/>
    <s v="user17@example.com"/>
  </r>
  <r>
    <x v="76"/>
    <s v="Eve Adams"/>
    <s v="IT"/>
    <x v="3"/>
    <n v="94301"/>
    <d v="2016-06-19T00:00:00"/>
    <n v="1"/>
    <s v="Male"/>
    <s v="user20@example.com"/>
    <n v="5"/>
    <s v="user20@example.com"/>
  </r>
  <r>
    <x v="77"/>
    <s v="Jane Smith"/>
    <s v="UNKNOWN"/>
    <x v="4"/>
    <n v="69166"/>
    <d v="2016-06-26T00:00:00"/>
    <n v="1"/>
    <s v="Female"/>
    <s v="user22@example.com"/>
    <n v="29"/>
    <s v="user22@example.com"/>
  </r>
  <r>
    <x v="78"/>
    <s v="Sam Wilson"/>
    <s v="UNKNOWN"/>
    <x v="4"/>
    <n v="78245"/>
    <d v="2016-07-03T00:00:00"/>
    <n v="2"/>
    <s v="Unknown"/>
    <s v="user46@example.com"/>
    <n v="21"/>
    <s v="user46@example.com"/>
  </r>
  <r>
    <x v="79"/>
    <s v="Chris Lee"/>
    <s v="SALES"/>
    <x v="2"/>
    <n v="66079"/>
    <d v="2016-07-10T00:00:00"/>
    <n v="2"/>
    <s v="Other"/>
    <s v="user55@example.com"/>
    <n v="14"/>
    <s v="user55@example.com"/>
  </r>
  <r>
    <x v="80"/>
    <s v="Eve Adams"/>
    <s v="MARKETING"/>
    <x v="3"/>
    <n v="63687"/>
    <s v="Unknown"/>
    <n v="3"/>
    <s v="Unknown"/>
    <s v="user135@example.com"/>
    <n v="0"/>
    <s v="user135@example.com"/>
  </r>
  <r>
    <x v="81"/>
    <s v="Jane Smith"/>
    <s v="SALES"/>
    <x v="2"/>
    <n v="95621"/>
    <d v="2016-07-24T00:00:00"/>
    <n v="3"/>
    <s v="Female"/>
    <s v="user156@example.com"/>
    <n v="0"/>
    <s v="user156@example.com"/>
  </r>
  <r>
    <x v="82"/>
    <s v="Eve Adams"/>
    <s v="IT"/>
    <x v="4"/>
    <n v="42262"/>
    <d v="2016-07-31T00:00:00"/>
    <n v="1"/>
    <s v="Unknown"/>
    <s v="user104@example.com"/>
    <n v="24"/>
    <s v="user104@example.com"/>
  </r>
  <r>
    <x v="83"/>
    <s v="Sam Wilson"/>
    <s v="SALES"/>
    <x v="3"/>
    <n v="99621"/>
    <d v="2016-08-07T00:00:00"/>
    <n v="3"/>
    <s v="Other"/>
    <s v="user145@example.com"/>
    <n v="17"/>
    <s v="user145@example.com"/>
  </r>
  <r>
    <x v="84"/>
    <s v="John Doe"/>
    <s v="MARKETING"/>
    <x v="3"/>
    <n v="44682"/>
    <d v="2016-08-14T00:00:00"/>
    <n v="4"/>
    <s v="Female"/>
    <s v="user47@example.com"/>
    <n v="10"/>
    <s v="user47@example.com"/>
  </r>
  <r>
    <x v="85"/>
    <s v="Chris Lee"/>
    <s v="FINANCE"/>
    <x v="0"/>
    <n v="35163"/>
    <d v="2016-08-21T00:00:00"/>
    <n v="5"/>
    <s v="Other"/>
    <s v="user197@example.com"/>
    <n v="3"/>
    <s v="user197@example.com"/>
  </r>
  <r>
    <x v="86"/>
    <s v="Chris Lee"/>
    <s v="IT"/>
    <x v="3"/>
    <n v="33483"/>
    <d v="2016-08-28T00:00:00"/>
    <n v="4"/>
    <s v="Male"/>
    <s v="user177@example.com"/>
    <n v="27"/>
    <s v="user177@example.com"/>
  </r>
  <r>
    <x v="87"/>
    <s v="Sam Wilson"/>
    <s v="HR"/>
    <x v="1"/>
    <n v="55303"/>
    <d v="2016-09-04T00:00:00"/>
    <n v="4"/>
    <s v="Male"/>
    <s v="user149@example.com"/>
    <n v="20"/>
    <s v="user149@example.com"/>
  </r>
  <r>
    <x v="88"/>
    <s v="Chris Lee"/>
    <s v="IT"/>
    <x v="0"/>
    <n v="63434"/>
    <d v="2016-09-11T00:00:00"/>
    <n v="3"/>
    <s v="Unknown"/>
    <s v="user48@example.com"/>
    <n v="13"/>
    <s v="user48@example.com"/>
  </r>
  <r>
    <x v="89"/>
    <s v="Jane Smith"/>
    <s v="UNKNOWN"/>
    <x v="5"/>
    <n v="38830"/>
    <d v="2016-09-18T00:00:00"/>
    <n v="3"/>
    <s v="Other"/>
    <s v="user149@example.com"/>
    <n v="6"/>
    <s v="user149@example.com"/>
  </r>
  <r>
    <x v="90"/>
    <s v="Unknown"/>
    <s v="MARKETING"/>
    <x v="4"/>
    <n v="50741"/>
    <d v="2016-09-25T00:00:00"/>
    <n v="3"/>
    <s v="Unknown"/>
    <s v="user65@example.com"/>
    <n v="30"/>
    <s v="user65@example.com"/>
  </r>
  <r>
    <x v="91"/>
    <s v="Alice Brown"/>
    <s v="HR"/>
    <x v="5"/>
    <n v="69420"/>
    <d v="2016-10-02T00:00:00"/>
    <n v="1"/>
    <s v="Male"/>
    <s v="user43@example.com"/>
    <n v="22"/>
    <s v="user43@example.com"/>
  </r>
  <r>
    <x v="92"/>
    <s v="Jane Smith"/>
    <s v="IT"/>
    <x v="0"/>
    <n v="80588"/>
    <d v="2016-10-09T00:00:00"/>
    <n v="5"/>
    <s v="Male"/>
    <s v="user98@example.com"/>
    <n v="15"/>
    <s v="user98@example.com"/>
  </r>
  <r>
    <x v="93"/>
    <s v="Alice Brown"/>
    <s v="UNKNOWN"/>
    <x v="2"/>
    <n v="76238"/>
    <d v="2016-10-16T00:00:00"/>
    <n v="4"/>
    <s v="Male"/>
    <s v="user102@example.com"/>
    <n v="8"/>
    <s v="user102@example.com"/>
  </r>
  <r>
    <x v="94"/>
    <s v="Bob Johnson"/>
    <s v="IT"/>
    <x v="3"/>
    <n v="33264"/>
    <d v="2016-10-23T00:00:00"/>
    <n v="3"/>
    <s v="Female"/>
    <s v="user148@example.com"/>
    <n v="1"/>
    <s v="user148@example.com"/>
  </r>
  <r>
    <x v="95"/>
    <s v="Alice Brown"/>
    <s v="FINANCE"/>
    <x v="5"/>
    <n v="96101"/>
    <d v="2016-10-30T00:00:00"/>
    <n v="3"/>
    <s v="Other"/>
    <s v="user155@example.com"/>
    <n v="25"/>
    <s v="user155@example.com"/>
  </r>
  <r>
    <x v="96"/>
    <s v="Jane Smith"/>
    <s v="FINANCE"/>
    <x v="2"/>
    <n v="72939"/>
    <d v="2016-11-06T00:00:00"/>
    <n v="3"/>
    <s v="Unknown"/>
    <s v="user191@example.com"/>
    <n v="18"/>
    <s v="user191@example.com"/>
  </r>
  <r>
    <x v="97"/>
    <s v="Sam Wilson"/>
    <s v="HR"/>
    <x v="1"/>
    <n v="89333"/>
    <d v="2016-11-13T00:00:00"/>
    <n v="1"/>
    <s v="Male"/>
    <s v="user113@example.com"/>
    <n v="11"/>
    <s v="user113@example.com"/>
  </r>
  <r>
    <x v="98"/>
    <s v="Bob Johnson"/>
    <s v="IT"/>
    <x v="5"/>
    <n v="70470"/>
    <d v="2016-11-20T00:00:00"/>
    <n v="3"/>
    <s v="Male"/>
    <s v="user62@example.com"/>
    <n v="4"/>
    <s v="user62@example.com"/>
  </r>
  <r>
    <x v="99"/>
    <s v="Eve Adams"/>
    <s v="MARKETING"/>
    <x v="2"/>
    <n v="70096"/>
    <d v="2016-11-27T00:00:00"/>
    <n v="4"/>
    <s v="Male"/>
    <s v="user76@example.com"/>
    <n v="28"/>
    <s v="user76@example.com"/>
  </r>
  <r>
    <x v="100"/>
    <s v="Bob Johnson"/>
    <s v="MARKETING"/>
    <x v="0"/>
    <n v="63687"/>
    <d v="2016-12-04T00:00:00"/>
    <n v="2"/>
    <s v="Other"/>
    <s v="user40@example.com"/>
    <n v="20"/>
    <s v="user40@example.com"/>
  </r>
  <r>
    <x v="101"/>
    <s v="Bob Johnson"/>
    <s v="IT"/>
    <x v="1"/>
    <n v="66503"/>
    <d v="2016-12-11T00:00:00"/>
    <n v="3"/>
    <s v="Male"/>
    <s v="user200@example.com"/>
    <n v="13"/>
    <s v="user200@example.com"/>
  </r>
  <r>
    <x v="102"/>
    <s v="Alice Brown"/>
    <s v="HR"/>
    <x v="1"/>
    <n v="42096"/>
    <d v="2016-12-18T00:00:00"/>
    <n v="3"/>
    <s v="Female"/>
    <s v="user54@example.com"/>
    <n v="6"/>
    <s v="user54@example.com"/>
  </r>
  <r>
    <x v="103"/>
    <s v="Alice Brown"/>
    <s v="MARKETING"/>
    <x v="0"/>
    <n v="79145"/>
    <d v="2016-12-25T00:00:00"/>
    <n v="5"/>
    <s v="Other"/>
    <s v="user20@example.com"/>
    <n v="30"/>
    <s v="user20@example.com"/>
  </r>
  <r>
    <x v="104"/>
    <s v="Jane Smith"/>
    <s v="UNKNOWN"/>
    <x v="5"/>
    <n v="61556"/>
    <d v="2017-01-01T00:00:00"/>
    <n v="1"/>
    <s v="Unknown"/>
    <s v="user40@example.com"/>
    <n v="23"/>
    <s v="user40@example.com"/>
  </r>
  <r>
    <x v="105"/>
    <s v="Unknown"/>
    <s v="HR"/>
    <x v="4"/>
    <n v="87963"/>
    <d v="2017-01-08T00:00:00"/>
    <n v="3"/>
    <s v="Other"/>
    <s v="invalid_email"/>
    <n v="16"/>
    <s v="unknown"/>
  </r>
  <r>
    <x v="106"/>
    <s v="Eve Adams"/>
    <s v="IT"/>
    <x v="0"/>
    <n v="48325"/>
    <d v="2017-01-15T00:00:00"/>
    <n v="3"/>
    <s v="Male"/>
    <s v="user189@example.com"/>
    <n v="9"/>
    <s v="user189@example.com"/>
  </r>
  <r>
    <x v="107"/>
    <s v="Sam Wilson"/>
    <s v="MARKETING"/>
    <x v="5"/>
    <n v="86412"/>
    <d v="2017-01-22T00:00:00"/>
    <n v="2"/>
    <s v="Female"/>
    <s v="user128@example.com"/>
    <n v="2"/>
    <s v="user128@example.com"/>
  </r>
  <r>
    <x v="108"/>
    <s v="Sam Wilson"/>
    <s v="HR"/>
    <x v="0"/>
    <n v="66761"/>
    <d v="2017-01-29T00:00:00"/>
    <n v="1"/>
    <s v="Unknown"/>
    <s v="user93@example.com"/>
    <n v="26"/>
    <s v="user93@example.com"/>
  </r>
  <r>
    <x v="109"/>
    <s v="Jane Smith"/>
    <s v="UNKNOWN"/>
    <x v="3"/>
    <n v="88850"/>
    <d v="2017-02-05T00:00:00"/>
    <n v="1"/>
    <s v="Female"/>
    <s v="user174@example.com"/>
    <n v="19"/>
    <s v="user174@example.com"/>
  </r>
  <r>
    <x v="110"/>
    <s v="Chris Lee"/>
    <s v="SALES"/>
    <x v="3"/>
    <n v="31293"/>
    <s v="Unknown"/>
    <n v="2"/>
    <s v="Female"/>
    <s v="user44@example.com"/>
    <n v="0"/>
    <s v="user44@example.com"/>
  </r>
  <r>
    <x v="111"/>
    <s v="Chris Lee"/>
    <s v="IT"/>
    <x v="2"/>
    <n v="34306"/>
    <d v="2017-02-19T00:00:00"/>
    <n v="5"/>
    <s v="Female"/>
    <s v="user192@example.com"/>
    <n v="5"/>
    <s v="user192@example.com"/>
  </r>
  <r>
    <x v="112"/>
    <s v="Eve Adams"/>
    <s v="FINANCE"/>
    <x v="3"/>
    <n v="78330"/>
    <d v="2017-02-26T00:00:00"/>
    <n v="3"/>
    <s v="Other"/>
    <s v="user76@example.com"/>
    <n v="29"/>
    <s v="user76@example.com"/>
  </r>
  <r>
    <x v="113"/>
    <s v="Alice Brown"/>
    <s v="IT"/>
    <x v="2"/>
    <n v="47653"/>
    <d v="2017-03-05T00:00:00"/>
    <n v="1"/>
    <s v="Male"/>
    <s v="user82@example.com"/>
    <n v="19"/>
    <s v="user82@example.com"/>
  </r>
  <r>
    <x v="114"/>
    <s v="Eve Adams"/>
    <s v="MARKETING"/>
    <x v="4"/>
    <n v="44627"/>
    <d v="2017-03-12T00:00:00"/>
    <n v="4"/>
    <s v="Unknown"/>
    <s v="user97@example.com"/>
    <n v="12"/>
    <s v="user97@example.com"/>
  </r>
  <r>
    <x v="115"/>
    <s v="Bob Johnson"/>
    <s v="HR"/>
    <x v="1"/>
    <n v="92343"/>
    <d v="2017-03-19T00:00:00"/>
    <n v="4"/>
    <s v="Female"/>
    <s v="user149@example.com"/>
    <n v="5"/>
    <s v="user149@example.com"/>
  </r>
  <r>
    <x v="116"/>
    <s v="Bob Johnson"/>
    <s v="MARKETING"/>
    <x v="5"/>
    <n v="38837"/>
    <d v="2017-03-26T00:00:00"/>
    <n v="5"/>
    <s v="Female"/>
    <s v="user192@example.com"/>
    <n v="29"/>
    <s v="user192@example.com"/>
  </r>
  <r>
    <x v="117"/>
    <s v="Bob Johnson"/>
    <s v="MARKETING"/>
    <x v="0"/>
    <n v="73483"/>
    <d v="2017-04-02T00:00:00"/>
    <n v="1"/>
    <s v="Unknown"/>
    <s v="user137@example.com"/>
    <n v="22"/>
    <s v="user137@example.com"/>
  </r>
  <r>
    <x v="118"/>
    <s v="Chris Lee"/>
    <s v="SALES"/>
    <x v="3"/>
    <n v="95032"/>
    <d v="2017-04-09T00:00:00"/>
    <n v="3"/>
    <s v="Unknown"/>
    <s v="user23@example.com"/>
    <n v="15"/>
    <s v="user23@example.com"/>
  </r>
  <r>
    <x v="119"/>
    <s v="Eve Adams"/>
    <s v="SALES"/>
    <x v="5"/>
    <n v="44358"/>
    <d v="2017-04-16T00:00:00"/>
    <n v="3"/>
    <s v="Female"/>
    <s v="user200@example.com"/>
    <n v="8"/>
    <s v="user200@example.com"/>
  </r>
  <r>
    <x v="120"/>
    <s v="Unknown"/>
    <s v="IT"/>
    <x v="2"/>
    <n v="66158"/>
    <s v="Unknown"/>
    <n v="5"/>
    <s v="Unknown"/>
    <s v="user101@example.com"/>
    <n v="0"/>
    <s v="user101@example.com"/>
  </r>
  <r>
    <x v="121"/>
    <s v="Chris Lee"/>
    <s v="SALES"/>
    <x v="2"/>
    <n v="45676"/>
    <d v="2017-04-30T00:00:00"/>
    <n v="2"/>
    <s v="Unknown"/>
    <s v="user132@example.com"/>
    <n v="25"/>
    <s v="user132@example.com"/>
  </r>
  <r>
    <x v="122"/>
    <s v="Bob Johnson"/>
    <s v="SALES"/>
    <x v="1"/>
    <n v="52036"/>
    <d v="2017-05-07T00:00:00"/>
    <n v="3"/>
    <s v="Male"/>
    <s v="user171@example.com"/>
    <n v="17"/>
    <s v="user171@example.com"/>
  </r>
  <r>
    <x v="123"/>
    <s v="Jane Smith"/>
    <s v="UNKNOWN"/>
    <x v="1"/>
    <n v="30357"/>
    <d v="2017-05-14T00:00:00"/>
    <n v="5"/>
    <s v="Male"/>
    <s v="user145@example.com"/>
    <n v="10"/>
    <s v="user145@example.com"/>
  </r>
  <r>
    <x v="124"/>
    <s v="John Doe"/>
    <s v="IT"/>
    <x v="0"/>
    <n v="60034"/>
    <d v="2017-05-21T00:00:00"/>
    <n v="1"/>
    <s v="Female"/>
    <s v="user75@example.com"/>
    <n v="3"/>
    <s v="user75@example.com"/>
  </r>
  <r>
    <x v="125"/>
    <s v="John Doe"/>
    <s v="FINANCE"/>
    <x v="0"/>
    <n v="90019"/>
    <d v="2017-05-28T00:00:00"/>
    <n v="5"/>
    <s v="Unknown"/>
    <s v="user52@example.com"/>
    <n v="27"/>
    <s v="user52@example.com"/>
  </r>
  <r>
    <x v="126"/>
    <s v="Bob Johnson"/>
    <s v="UNKNOWN"/>
    <x v="1"/>
    <n v="71494"/>
    <d v="2017-06-04T00:00:00"/>
    <n v="3"/>
    <s v="Male"/>
    <s v="user100@example.com"/>
    <n v="20"/>
    <s v="user100@example.com"/>
  </r>
  <r>
    <x v="127"/>
    <s v="John Doe"/>
    <s v="FINANCE"/>
    <x v="2"/>
    <n v="91953"/>
    <d v="2017-06-11T00:00:00"/>
    <n v="2"/>
    <s v="Male"/>
    <s v="user83@example.com"/>
    <n v="13"/>
    <s v="user83@example.com"/>
  </r>
  <r>
    <x v="128"/>
    <s v="Chris Lee"/>
    <s v="SALES"/>
    <x v="2"/>
    <n v="30402"/>
    <d v="2017-06-18T00:00:00"/>
    <n v="1"/>
    <s v="Unknown"/>
    <s v="user167@example.com"/>
    <n v="6"/>
    <s v="user167@example.com"/>
  </r>
  <r>
    <x v="129"/>
    <s v="Bob Johnson"/>
    <s v="UNKNOWN"/>
    <x v="4"/>
    <n v="62994"/>
    <d v="2017-06-25T00:00:00"/>
    <n v="3"/>
    <s v="Unknown"/>
    <s v="user175@example.com"/>
    <n v="30"/>
    <s v="user175@example.com"/>
  </r>
  <r>
    <x v="130"/>
    <s v="Alice Brown"/>
    <s v="SALES"/>
    <x v="3"/>
    <n v="48289"/>
    <s v="Unknown"/>
    <n v="3"/>
    <s v="Male"/>
    <s v="user25@example.com"/>
    <n v="0"/>
    <s v="user25@example.com"/>
  </r>
  <r>
    <x v="131"/>
    <s v="Sam Wilson"/>
    <s v="MARKETING"/>
    <x v="1"/>
    <n v="34402"/>
    <d v="2017-07-09T00:00:00"/>
    <n v="3"/>
    <s v="Other"/>
    <s v="user42@example.com"/>
    <n v="15"/>
    <s v="user42@example.com"/>
  </r>
  <r>
    <x v="132"/>
    <s v="Eve Adams"/>
    <s v="HR"/>
    <x v="2"/>
    <n v="38678"/>
    <d v="2017-07-16T00:00:00"/>
    <n v="3"/>
    <s v="Other"/>
    <s v="user188@example.com"/>
    <n v="8"/>
    <s v="user188@example.com"/>
  </r>
  <r>
    <x v="133"/>
    <s v="Chris Lee"/>
    <s v="HR"/>
    <x v="1"/>
    <n v="45758"/>
    <d v="2017-07-23T00:00:00"/>
    <n v="3"/>
    <s v="Unknown"/>
    <s v="user44@example.com"/>
    <n v="1"/>
    <s v="user44@example.com"/>
  </r>
  <r>
    <x v="134"/>
    <s v="Eve Adams"/>
    <s v="MARKETING"/>
    <x v="3"/>
    <n v="62476"/>
    <d v="2017-07-30T00:00:00"/>
    <n v="1"/>
    <s v="Other"/>
    <s v="user63@example.com"/>
    <n v="25"/>
    <s v="user63@example.com"/>
  </r>
  <r>
    <x v="135"/>
    <s v="Unknown"/>
    <s v="IT"/>
    <x v="4"/>
    <n v="39280"/>
    <d v="2017-08-06T00:00:00"/>
    <n v="3"/>
    <s v="Female"/>
    <s v="user198@example.com"/>
    <n v="18"/>
    <s v="user198@example.com"/>
  </r>
  <r>
    <x v="136"/>
    <s v="Jane Smith"/>
    <s v="FINANCE"/>
    <x v="3"/>
    <n v="60335"/>
    <d v="2017-08-13T00:00:00"/>
    <n v="4"/>
    <s v="Other"/>
    <s v="user59@example.com"/>
    <n v="11"/>
    <s v="user59@example.com"/>
  </r>
  <r>
    <x v="137"/>
    <s v="Chris Lee"/>
    <s v="HR"/>
    <x v="1"/>
    <n v="84968"/>
    <d v="2017-08-20T00:00:00"/>
    <n v="3"/>
    <s v="Unknown"/>
    <s v="user165@example.com"/>
    <n v="4"/>
    <s v="user165@example.com"/>
  </r>
  <r>
    <x v="138"/>
    <s v="Chris Lee"/>
    <s v="MARKETING"/>
    <x v="5"/>
    <n v="84750"/>
    <d v="2017-08-27T00:00:00"/>
    <n v="4"/>
    <s v="Female"/>
    <s v="user3@example.com"/>
    <n v="28"/>
    <s v="user3@example.com"/>
  </r>
  <r>
    <x v="139"/>
    <s v="Bob Johnson"/>
    <s v="IT"/>
    <x v="0"/>
    <n v="73348"/>
    <d v="2017-09-03T00:00:00"/>
    <n v="2"/>
    <s v="Unknown"/>
    <s v="user22@example.com"/>
    <n v="21"/>
    <s v="user22@example.com"/>
  </r>
  <r>
    <x v="140"/>
    <s v="Chris Lee"/>
    <s v="SALES"/>
    <x v="2"/>
    <n v="67929"/>
    <d v="2017-09-10T00:00:00"/>
    <n v="4"/>
    <s v="Other"/>
    <s v="invalid_email"/>
    <n v="14"/>
    <s v="unknown"/>
  </r>
  <r>
    <x v="141"/>
    <s v="Jane Smith"/>
    <s v="MARKETING"/>
    <x v="2"/>
    <n v="66882"/>
    <d v="2017-09-17T00:00:00"/>
    <n v="5"/>
    <s v="Other"/>
    <s v="user103@example.com"/>
    <n v="7"/>
    <s v="user103@example.com"/>
  </r>
  <r>
    <x v="142"/>
    <s v="Alice Brown"/>
    <s v="MARKETING"/>
    <x v="0"/>
    <n v="86775"/>
    <d v="2017-09-24T00:00:00"/>
    <n v="3"/>
    <s v="Other"/>
    <s v="user190@example.com"/>
    <n v="0"/>
    <s v="user190@example.com"/>
  </r>
  <r>
    <x v="143"/>
    <s v="Chris Lee"/>
    <s v="SALES"/>
    <x v="4"/>
    <n v="91620"/>
    <d v="2017-10-01T00:00:00"/>
    <n v="3"/>
    <s v="Unknown"/>
    <s v="user114@example.com"/>
    <n v="23"/>
    <s v="user114@example.com"/>
  </r>
  <r>
    <x v="144"/>
    <s v="Eve Adams"/>
    <s v="UNKNOWN"/>
    <x v="0"/>
    <n v="94148"/>
    <d v="2017-10-08T00:00:00"/>
    <n v="2"/>
    <s v="Unknown"/>
    <s v="user53@example.com"/>
    <n v="16"/>
    <s v="user53@example.com"/>
  </r>
  <r>
    <x v="145"/>
    <s v="Sam Wilson"/>
    <s v="SALES"/>
    <x v="5"/>
    <n v="35627"/>
    <d v="2017-10-15T00:00:00"/>
    <n v="5"/>
    <s v="Female"/>
    <s v="user188@example.com"/>
    <n v="9"/>
    <s v="user188@example.com"/>
  </r>
  <r>
    <x v="146"/>
    <s v="John Doe"/>
    <s v="MARKETING"/>
    <x v="2"/>
    <n v="57141"/>
    <d v="2017-10-22T00:00:00"/>
    <n v="2"/>
    <s v="Unknown"/>
    <s v="user165@example.com"/>
    <n v="2"/>
    <s v="user165@example.com"/>
  </r>
  <r>
    <x v="147"/>
    <s v="Bob Johnson"/>
    <s v="SALES"/>
    <x v="5"/>
    <n v="65270"/>
    <d v="2017-10-29T00:00:00"/>
    <n v="1"/>
    <s v="Unknown"/>
    <s v="user163@example.com"/>
    <n v="26"/>
    <s v="user163@example.com"/>
  </r>
  <r>
    <x v="148"/>
    <s v="Bob Johnson"/>
    <s v="UNKNOWN"/>
    <x v="4"/>
    <n v="67335"/>
    <d v="2017-11-05T00:00:00"/>
    <n v="1"/>
    <s v="Other"/>
    <s v="user112@example.com"/>
    <n v="19"/>
    <s v="user112@example.com"/>
  </r>
  <r>
    <x v="149"/>
    <s v="Sam Wilson"/>
    <s v="MARKETING"/>
    <x v="3"/>
    <n v="98475"/>
    <d v="2017-11-12T00:00:00"/>
    <n v="5"/>
    <s v="Other"/>
    <s v="user30@example.com"/>
    <n v="12"/>
    <s v="user30@example.co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s v="FINANCE"/>
    <s v="unknown"/>
    <n v="65605"/>
    <s v="Unknown"/>
    <n v="2"/>
    <s v="Unknown"/>
    <s v="invalid_email"/>
    <n v="0"/>
    <s v="unknown"/>
  </r>
  <r>
    <x v="1"/>
    <x v="1"/>
    <s v="HR"/>
    <s v="germany"/>
    <n v="54255"/>
    <d v="2015-01-11T00:00:00"/>
    <n v="1"/>
    <s v="Other"/>
    <s v="user106@example.com"/>
    <n v="13"/>
    <s v="user106@example.com"/>
  </r>
  <r>
    <x v="2"/>
    <x v="2"/>
    <s v="FINANCE"/>
    <s v="germany"/>
    <n v="63184"/>
    <d v="2015-01-18T00:00:00"/>
    <n v="2"/>
    <s v="Unknown"/>
    <s v="user176@example.com"/>
    <n v="6"/>
    <s v="user176@example.com"/>
  </r>
  <r>
    <x v="3"/>
    <x v="3"/>
    <s v="SALES"/>
    <s v="usa"/>
    <n v="94406"/>
    <d v="2015-01-25T00:00:00"/>
    <n v="1"/>
    <s v="Male"/>
    <s v="user168@example.com"/>
    <n v="30"/>
    <s v="user168@example.com"/>
  </r>
  <r>
    <x v="4"/>
    <x v="4"/>
    <s v="SALES"/>
    <s v="germany"/>
    <n v="64120"/>
    <d v="2015-02-01T00:00:00"/>
    <n v="1"/>
    <s v="Male"/>
    <s v="user49@example.com"/>
    <n v="23"/>
    <s v="user49@example.com"/>
  </r>
  <r>
    <x v="5"/>
    <x v="2"/>
    <s v="IT"/>
    <s v="india"/>
    <n v="78421"/>
    <d v="2015-02-08T00:00:00"/>
    <n v="2"/>
    <s v="Female"/>
    <s v="user24@example.com"/>
    <n v="16"/>
    <s v="user24@example.com"/>
  </r>
  <r>
    <x v="6"/>
    <x v="5"/>
    <s v="SALES"/>
    <s v="unknown"/>
    <n v="67721"/>
    <d v="2015-02-15T00:00:00"/>
    <n v="3"/>
    <s v="Male"/>
    <s v="user168@example.com"/>
    <n v="9"/>
    <s v="user168@example.com"/>
  </r>
  <r>
    <x v="7"/>
    <x v="6"/>
    <s v="MARKETING"/>
    <s v="unknown"/>
    <n v="35364"/>
    <d v="2015-02-22T00:00:00"/>
    <n v="2"/>
    <s v="Other"/>
    <s v="user26@example.com"/>
    <n v="2"/>
    <s v="user26@example.com"/>
  </r>
  <r>
    <x v="8"/>
    <x v="2"/>
    <s v="IT"/>
    <s v="germany"/>
    <n v="97881"/>
    <d v="2015-03-01T00:00:00"/>
    <n v="3"/>
    <s v="Female"/>
    <s v="user25@example.com"/>
    <n v="23"/>
    <s v="user25@example.com"/>
  </r>
  <r>
    <x v="9"/>
    <x v="6"/>
    <s v="HR"/>
    <s v="uk"/>
    <n v="91846"/>
    <d v="2015-03-08T00:00:00"/>
    <n v="3"/>
    <s v="Male"/>
    <s v="user153@example.com"/>
    <n v="16"/>
    <s v="user153@example.com"/>
  </r>
  <r>
    <x v="10"/>
    <x v="5"/>
    <s v="FINANCE"/>
    <s v="uk"/>
    <n v="64247"/>
    <d v="2015-03-15T00:00:00"/>
    <n v="1"/>
    <s v="Female"/>
    <s v="user18@example.com"/>
    <n v="9"/>
    <s v="user18@example.com"/>
  </r>
  <r>
    <x v="11"/>
    <x v="5"/>
    <s v="IT"/>
    <s v="usa"/>
    <n v="91180"/>
    <d v="2015-03-22T00:00:00"/>
    <n v="5"/>
    <s v="Male"/>
    <s v="user1@example.com"/>
    <n v="2"/>
    <s v="user1@example.com"/>
  </r>
  <r>
    <x v="12"/>
    <x v="7"/>
    <s v="SALES"/>
    <s v="unknown"/>
    <n v="96418"/>
    <d v="2015-03-29T00:00:00"/>
    <n v="5"/>
    <s v="Male"/>
    <s v="user106@example.com"/>
    <n v="26"/>
    <s v="user106@example.com"/>
  </r>
  <r>
    <x v="13"/>
    <x v="5"/>
    <s v="UNKNOWN"/>
    <s v="india"/>
    <n v="62158"/>
    <d v="2015-04-05T00:00:00"/>
    <n v="4"/>
    <s v="Unknown"/>
    <s v="user180@example.com"/>
    <n v="19"/>
    <s v="user180@example.com"/>
  </r>
  <r>
    <x v="14"/>
    <x v="4"/>
    <s v="HR"/>
    <s v="unknown"/>
    <n v="59894"/>
    <d v="2015-04-12T00:00:00"/>
    <n v="2"/>
    <s v="Male"/>
    <s v="user184@example.com"/>
    <n v="12"/>
    <s v="user184@example.com"/>
  </r>
  <r>
    <x v="15"/>
    <x v="0"/>
    <s v="IT"/>
    <s v="india"/>
    <n v="92443"/>
    <d v="2015-04-19T00:00:00"/>
    <n v="3"/>
    <s v="Other"/>
    <s v="user3@example.com"/>
    <n v="5"/>
    <s v="user3@example.com"/>
  </r>
  <r>
    <x v="16"/>
    <x v="7"/>
    <s v="UNKNOWN"/>
    <s v="germany"/>
    <n v="90271"/>
    <d v="2015-04-26T00:00:00"/>
    <n v="3"/>
    <s v="Unknown"/>
    <s v="user64@example.com"/>
    <n v="29"/>
    <s v="user64@example.com"/>
  </r>
  <r>
    <x v="17"/>
    <x v="4"/>
    <s v="FINANCE"/>
    <s v="australia"/>
    <n v="41341"/>
    <d v="2015-05-03T00:00:00"/>
    <n v="1"/>
    <s v="Other"/>
    <s v="user38@example.com"/>
    <n v="21"/>
    <s v="user38@example.com"/>
  </r>
  <r>
    <x v="18"/>
    <x v="2"/>
    <s v="FINANCE"/>
    <s v="uk"/>
    <n v="73602"/>
    <d v="2015-05-10T00:00:00"/>
    <n v="3"/>
    <s v="Unknown"/>
    <s v="user96@example.com"/>
    <n v="14"/>
    <s v="user96@example.com"/>
  </r>
  <r>
    <x v="19"/>
    <x v="1"/>
    <s v="UNKNOWN"/>
    <s v="india"/>
    <n v="67531"/>
    <d v="2015-05-17T00:00:00"/>
    <n v="5"/>
    <s v="Female"/>
    <s v="user151@example.com"/>
    <n v="7"/>
    <s v="user151@example.com"/>
  </r>
  <r>
    <x v="20"/>
    <x v="4"/>
    <s v="HR"/>
    <s v="usa"/>
    <n v="67835"/>
    <d v="2015-05-24T00:00:00"/>
    <n v="2"/>
    <s v="Other"/>
    <s v="user200@example.com"/>
    <n v="0"/>
    <s v="user200@example.com"/>
  </r>
  <r>
    <x v="21"/>
    <x v="4"/>
    <s v="HR"/>
    <s v="unknown"/>
    <n v="98922"/>
    <d v="2015-05-31T00:00:00"/>
    <n v="4"/>
    <s v="Unknown"/>
    <s v="user77@example.com"/>
    <n v="24"/>
    <s v="user77@example.com"/>
  </r>
  <r>
    <x v="22"/>
    <x v="1"/>
    <s v="FINANCE"/>
    <s v="india"/>
    <n v="38333"/>
    <d v="2015-06-07T00:00:00"/>
    <n v="5"/>
    <s v="Unknown"/>
    <s v="user128@example.com"/>
    <n v="17"/>
    <s v="user128@example.com"/>
  </r>
  <r>
    <x v="23"/>
    <x v="2"/>
    <s v="MARKETING"/>
    <s v="uk"/>
    <n v="36515"/>
    <d v="2015-06-14T00:00:00"/>
    <n v="3"/>
    <s v="Male"/>
    <s v="user149@example.com"/>
    <n v="10"/>
    <s v="user149@example.com"/>
  </r>
  <r>
    <x v="24"/>
    <x v="5"/>
    <s v="FINANCE"/>
    <s v="unknown"/>
    <n v="91005"/>
    <d v="2015-06-21T00:00:00"/>
    <n v="1"/>
    <s v="Other"/>
    <s v="user122@example.com"/>
    <n v="3"/>
    <s v="user122@example.com"/>
  </r>
  <r>
    <x v="25"/>
    <x v="6"/>
    <s v="UNKNOWN"/>
    <s v="unknown"/>
    <n v="52272"/>
    <d v="2015-06-28T00:00:00"/>
    <n v="3"/>
    <s v="Unknown"/>
    <s v="user41@example.com"/>
    <n v="27"/>
    <s v="user41@example.com"/>
  </r>
  <r>
    <x v="26"/>
    <x v="1"/>
    <s v="SALES"/>
    <s v="germany"/>
    <n v="76518"/>
    <d v="2015-07-05T00:00:00"/>
    <n v="2"/>
    <s v="Female"/>
    <s v="user68@example.com"/>
    <n v="19"/>
    <s v="user68@example.com"/>
  </r>
  <r>
    <x v="27"/>
    <x v="2"/>
    <s v="IT"/>
    <s v="uk"/>
    <n v="41448"/>
    <d v="2015-07-12T00:00:00"/>
    <n v="3"/>
    <s v="Other"/>
    <s v="user103@example.com"/>
    <n v="12"/>
    <s v="user103@example.com"/>
  </r>
  <r>
    <x v="28"/>
    <x v="3"/>
    <s v="HR"/>
    <s v="uk"/>
    <n v="49282"/>
    <d v="2015-07-19T00:00:00"/>
    <n v="2"/>
    <s v="Female"/>
    <s v="user135@example.com"/>
    <n v="5"/>
    <s v="user135@example.com"/>
  </r>
  <r>
    <x v="29"/>
    <x v="7"/>
    <s v="MARKETING"/>
    <s v="uk"/>
    <n v="92959"/>
    <d v="2015-07-26T00:00:00"/>
    <n v="5"/>
    <s v="Unknown"/>
    <s v="user83@example.com"/>
    <n v="29"/>
    <s v="user83@example.com"/>
  </r>
  <r>
    <x v="30"/>
    <x v="0"/>
    <s v="MARKETING"/>
    <s v="unknown"/>
    <n v="92259"/>
    <s v="Unknown"/>
    <n v="1"/>
    <s v="Unknown"/>
    <s v="user109@example.com"/>
    <n v="0"/>
    <s v="user109@example.com"/>
  </r>
  <r>
    <x v="31"/>
    <x v="1"/>
    <s v="HR"/>
    <s v="germany"/>
    <n v="92299"/>
    <d v="2015-08-09T00:00:00"/>
    <n v="3"/>
    <s v="Male"/>
    <s v="user143@example.com"/>
    <n v="15"/>
    <s v="user143@example.com"/>
  </r>
  <r>
    <x v="32"/>
    <x v="5"/>
    <s v="HR"/>
    <s v="unknown"/>
    <n v="95586"/>
    <d v="2015-08-16T00:00:00"/>
    <n v="3"/>
    <s v="Other"/>
    <s v="user190@example.com"/>
    <n v="8"/>
    <s v="user190@example.com"/>
  </r>
  <r>
    <x v="33"/>
    <x v="6"/>
    <s v="UNKNOWN"/>
    <s v="usa"/>
    <n v="95367"/>
    <d v="2015-08-23T00:00:00"/>
    <n v="3"/>
    <s v="Male"/>
    <s v="user136@example.com"/>
    <n v="1"/>
    <s v="user136@example.com"/>
  </r>
  <r>
    <x v="34"/>
    <x v="3"/>
    <s v="SALES"/>
    <s v="australia"/>
    <n v="79549"/>
    <d v="2015-08-30T00:00:00"/>
    <n v="3"/>
    <s v="Unknown"/>
    <s v="user198@example.com"/>
    <n v="25"/>
    <s v="user198@example.com"/>
  </r>
  <r>
    <x v="35"/>
    <x v="2"/>
    <s v="UNKNOWN"/>
    <s v="uk"/>
    <n v="54463"/>
    <d v="2015-09-06T00:00:00"/>
    <n v="4"/>
    <s v="Male"/>
    <s v="invalid_email"/>
    <n v="18"/>
    <s v="unknown"/>
  </r>
  <r>
    <x v="36"/>
    <x v="2"/>
    <s v="IT"/>
    <s v="usa"/>
    <n v="89781"/>
    <d v="2015-09-13T00:00:00"/>
    <n v="3"/>
    <s v="Female"/>
    <s v="user31@example.com"/>
    <n v="11"/>
    <s v="user31@example.com"/>
  </r>
  <r>
    <x v="37"/>
    <x v="2"/>
    <s v="HR"/>
    <s v="unknown"/>
    <n v="64796"/>
    <d v="2015-09-20T00:00:00"/>
    <n v="3"/>
    <s v="Other"/>
    <s v="user98@example.com"/>
    <n v="4"/>
    <s v="user98@example.com"/>
  </r>
  <r>
    <x v="38"/>
    <x v="3"/>
    <s v="MARKETING"/>
    <s v="uk"/>
    <n v="52093"/>
    <d v="2015-09-27T00:00:00"/>
    <n v="5"/>
    <s v="Unknown"/>
    <s v="user154@example.com"/>
    <n v="28"/>
    <s v="user154@example.com"/>
  </r>
  <r>
    <x v="39"/>
    <x v="6"/>
    <s v="HR"/>
    <s v="uk"/>
    <n v="48224"/>
    <d v="2015-10-04T00:00:00"/>
    <n v="3"/>
    <s v="Unknown"/>
    <s v="user42@example.com"/>
    <n v="20"/>
    <s v="user42@example.com"/>
  </r>
  <r>
    <x v="40"/>
    <x v="7"/>
    <s v="FINANCE"/>
    <s v="uk"/>
    <n v="65605"/>
    <s v="Unknown"/>
    <n v="4"/>
    <s v="Female"/>
    <s v="user89@example.com"/>
    <n v="0"/>
    <s v="user89@example.com"/>
  </r>
  <r>
    <x v="41"/>
    <x v="2"/>
    <s v="IT"/>
    <s v="germany"/>
    <n v="33956"/>
    <d v="2015-10-18T00:00:00"/>
    <n v="3"/>
    <s v="Unknown"/>
    <s v="user47@example.com"/>
    <n v="6"/>
    <s v="user47@example.com"/>
  </r>
  <r>
    <x v="42"/>
    <x v="7"/>
    <s v="UNKNOWN"/>
    <s v="australia"/>
    <n v="64913"/>
    <d v="2015-10-25T00:00:00"/>
    <n v="1"/>
    <s v="Female"/>
    <s v="user175@example.com"/>
    <n v="30"/>
    <s v="user175@example.com"/>
  </r>
  <r>
    <x v="43"/>
    <x v="2"/>
    <s v="MARKETING"/>
    <s v="australia"/>
    <n v="35326"/>
    <d v="2015-11-01T00:00:00"/>
    <n v="3"/>
    <s v="Female"/>
    <s v="user57@example.com"/>
    <n v="23"/>
    <s v="user57@example.com"/>
  </r>
  <r>
    <x v="44"/>
    <x v="6"/>
    <s v="FINANCE"/>
    <s v="unknown"/>
    <n v="81610"/>
    <d v="2015-11-08T00:00:00"/>
    <n v="1"/>
    <s v="Unknown"/>
    <s v="user20@example.com"/>
    <n v="16"/>
    <s v="user20@example.com"/>
  </r>
  <r>
    <x v="45"/>
    <x v="0"/>
    <s v="HR"/>
    <s v="unknown"/>
    <n v="58962"/>
    <d v="2015-11-15T00:00:00"/>
    <n v="3"/>
    <s v="Other"/>
    <s v="user106@example.com"/>
    <n v="9"/>
    <s v="user106@example.com"/>
  </r>
  <r>
    <x v="46"/>
    <x v="6"/>
    <s v="IT"/>
    <s v="germany"/>
    <n v="92701"/>
    <d v="2015-11-22T00:00:00"/>
    <n v="3"/>
    <s v="Other"/>
    <s v="user199@example.com"/>
    <n v="2"/>
    <s v="user199@example.com"/>
  </r>
  <r>
    <x v="47"/>
    <x v="6"/>
    <s v="HR"/>
    <s v="india"/>
    <n v="58245"/>
    <d v="2015-11-29T00:00:00"/>
    <n v="4"/>
    <s v="Unknown"/>
    <s v="user43@example.com"/>
    <n v="26"/>
    <s v="user43@example.com"/>
  </r>
  <r>
    <x v="48"/>
    <x v="3"/>
    <s v="FINANCE"/>
    <s v="unknown"/>
    <n v="66513"/>
    <d v="2015-12-06T00:00:00"/>
    <n v="2"/>
    <s v="Other"/>
    <s v="user24@example.com"/>
    <n v="18"/>
    <s v="user24@example.com"/>
  </r>
  <r>
    <x v="49"/>
    <x v="1"/>
    <s v="HR"/>
    <s v="germany"/>
    <n v="78720"/>
    <d v="2015-12-13T00:00:00"/>
    <n v="5"/>
    <s v="Female"/>
    <s v="user89@example.com"/>
    <n v="11"/>
    <s v="user89@example.com"/>
  </r>
  <r>
    <x v="50"/>
    <x v="6"/>
    <s v="UNKNOWN"/>
    <s v="unknown"/>
    <n v="30686"/>
    <s v="Unknown"/>
    <n v="2"/>
    <s v="Female"/>
    <s v="user95@example.com"/>
    <n v="0"/>
    <s v="user95@example.com"/>
  </r>
  <r>
    <x v="51"/>
    <x v="5"/>
    <s v="SALES"/>
    <s v="india"/>
    <n v="39423"/>
    <d v="2015-12-27T00:00:00"/>
    <n v="5"/>
    <s v="Unknown"/>
    <s v="user59@example.com"/>
    <n v="28"/>
    <s v="user59@example.com"/>
  </r>
  <r>
    <x v="52"/>
    <x v="1"/>
    <s v="MARKETING"/>
    <s v="unknown"/>
    <n v="30280"/>
    <d v="2016-01-03T00:00:00"/>
    <n v="1"/>
    <s v="Unknown"/>
    <s v="user152@example.com"/>
    <n v="21"/>
    <s v="user152@example.com"/>
  </r>
  <r>
    <x v="53"/>
    <x v="1"/>
    <s v="FINANCE"/>
    <s v="uk"/>
    <n v="33352"/>
    <d v="2016-01-10T00:00:00"/>
    <n v="3"/>
    <s v="Female"/>
    <s v="user200@example.com"/>
    <n v="14"/>
    <s v="user200@example.com"/>
  </r>
  <r>
    <x v="54"/>
    <x v="7"/>
    <s v="MARKETING"/>
    <s v="uk"/>
    <n v="75633"/>
    <d v="2016-01-17T00:00:00"/>
    <n v="5"/>
    <s v="Other"/>
    <s v="user92@example.com"/>
    <n v="7"/>
    <s v="user92@example.com"/>
  </r>
  <r>
    <x v="55"/>
    <x v="6"/>
    <s v="UNKNOWN"/>
    <s v="usa"/>
    <n v="74815"/>
    <d v="2016-01-24T00:00:00"/>
    <n v="5"/>
    <s v="Female"/>
    <s v="user50@example.com"/>
    <n v="0"/>
    <s v="user50@example.com"/>
  </r>
  <r>
    <x v="56"/>
    <x v="3"/>
    <s v="SALES"/>
    <s v="australia"/>
    <n v="60011"/>
    <d v="2016-01-31T00:00:00"/>
    <n v="1"/>
    <s v="Male"/>
    <s v="user63@example.com"/>
    <n v="24"/>
    <s v="user63@example.com"/>
  </r>
  <r>
    <x v="57"/>
    <x v="1"/>
    <s v="UNKNOWN"/>
    <s v="india"/>
    <n v="96949"/>
    <d v="2016-02-07T00:00:00"/>
    <n v="3"/>
    <s v="Unknown"/>
    <s v="user103@example.com"/>
    <n v="17"/>
    <s v="user103@example.com"/>
  </r>
  <r>
    <x v="58"/>
    <x v="5"/>
    <s v="MARKETING"/>
    <s v="unknown"/>
    <n v="84924"/>
    <d v="2016-02-14T00:00:00"/>
    <n v="5"/>
    <s v="Male"/>
    <s v="user150@example.com"/>
    <n v="10"/>
    <s v="user150@example.com"/>
  </r>
  <r>
    <x v="59"/>
    <x v="5"/>
    <s v="FINANCE"/>
    <s v="usa"/>
    <n v="82033"/>
    <d v="2016-02-21T00:00:00"/>
    <n v="1"/>
    <s v="Unknown"/>
    <s v="user20@example.com"/>
    <n v="3"/>
    <s v="user20@example.com"/>
  </r>
  <r>
    <x v="60"/>
    <x v="0"/>
    <s v="MARKETING"/>
    <s v="germany"/>
    <n v="63687"/>
    <s v="Unknown"/>
    <n v="5"/>
    <s v="Unknown"/>
    <s v="user112@example.com"/>
    <n v="0"/>
    <s v="user112@example.com"/>
  </r>
  <r>
    <x v="61"/>
    <x v="1"/>
    <s v="UNKNOWN"/>
    <s v="australia"/>
    <n v="31499"/>
    <d v="2016-03-06T00:00:00"/>
    <n v="2"/>
    <s v="Unknown"/>
    <s v="user31@example.com"/>
    <n v="18"/>
    <s v="user31@example.com"/>
  </r>
  <r>
    <x v="62"/>
    <x v="6"/>
    <s v="IT"/>
    <s v="uk"/>
    <n v="97981"/>
    <d v="2016-03-13T00:00:00"/>
    <n v="5"/>
    <s v="Female"/>
    <s v="user71@example.com"/>
    <n v="11"/>
    <s v="user71@example.com"/>
  </r>
  <r>
    <x v="63"/>
    <x v="1"/>
    <s v="HR"/>
    <s v="usa"/>
    <n v="36541"/>
    <d v="2016-03-20T00:00:00"/>
    <n v="2"/>
    <s v="Other"/>
    <s v="user97@example.com"/>
    <n v="4"/>
    <s v="user97@example.com"/>
  </r>
  <r>
    <x v="64"/>
    <x v="3"/>
    <s v="IT"/>
    <s v="india"/>
    <n v="84737"/>
    <d v="2016-03-27T00:00:00"/>
    <n v="1"/>
    <s v="Male"/>
    <s v="user141@example.com"/>
    <n v="28"/>
    <s v="user141@example.com"/>
  </r>
  <r>
    <x v="65"/>
    <x v="5"/>
    <s v="FINANCE"/>
    <s v="india"/>
    <n v="33468"/>
    <d v="2016-04-03T00:00:00"/>
    <n v="4"/>
    <s v="Male"/>
    <s v="user125@example.com"/>
    <n v="21"/>
    <s v="user125@example.com"/>
  </r>
  <r>
    <x v="66"/>
    <x v="5"/>
    <s v="UNKNOWN"/>
    <s v="australia"/>
    <n v="96365"/>
    <d v="2016-04-10T00:00:00"/>
    <n v="3"/>
    <s v="Other"/>
    <s v="user90@example.com"/>
    <n v="14"/>
    <s v="user90@example.com"/>
  </r>
  <r>
    <x v="67"/>
    <x v="2"/>
    <s v="SALES"/>
    <s v="india"/>
    <n v="61942"/>
    <d v="2016-04-17T00:00:00"/>
    <n v="3"/>
    <s v="Female"/>
    <s v="user192@example.com"/>
    <n v="7"/>
    <s v="user192@example.com"/>
  </r>
  <r>
    <x v="68"/>
    <x v="5"/>
    <s v="FINANCE"/>
    <s v="uk"/>
    <n v="41467"/>
    <d v="2016-04-24T00:00:00"/>
    <n v="2"/>
    <s v="Unknown"/>
    <s v="user77@example.com"/>
    <n v="0"/>
    <s v="user77@example.com"/>
  </r>
  <r>
    <x v="69"/>
    <x v="7"/>
    <s v="FINANCE"/>
    <s v="india"/>
    <n v="77096"/>
    <d v="2016-05-01T00:00:00"/>
    <n v="1"/>
    <s v="Unknown"/>
    <s v="user65@example.com"/>
    <n v="23"/>
    <s v="user65@example.com"/>
  </r>
  <r>
    <x v="70"/>
    <x v="1"/>
    <s v="SALES"/>
    <s v="australia"/>
    <n v="69952"/>
    <d v="2016-05-08T00:00:00"/>
    <n v="5"/>
    <s v="Female"/>
    <s v="invalid_email"/>
    <n v="16"/>
    <s v="unknown"/>
  </r>
  <r>
    <x v="71"/>
    <x v="1"/>
    <s v="MARKETING"/>
    <s v="usa"/>
    <n v="85065"/>
    <d v="2016-05-15T00:00:00"/>
    <n v="3"/>
    <s v="Unknown"/>
    <s v="user142@example.com"/>
    <n v="9"/>
    <s v="user142@example.com"/>
  </r>
  <r>
    <x v="72"/>
    <x v="7"/>
    <s v="MARKETING"/>
    <s v="india"/>
    <n v="56512"/>
    <d v="2016-05-22T00:00:00"/>
    <n v="3"/>
    <s v="Other"/>
    <s v="user153@example.com"/>
    <n v="2"/>
    <s v="user153@example.com"/>
  </r>
  <r>
    <x v="73"/>
    <x v="3"/>
    <s v="SALES"/>
    <s v="india"/>
    <n v="91101"/>
    <d v="2016-05-29T00:00:00"/>
    <n v="4"/>
    <s v="Female"/>
    <s v="user71@example.com"/>
    <n v="26"/>
    <s v="user71@example.com"/>
  </r>
  <r>
    <x v="74"/>
    <x v="5"/>
    <s v="UNKNOWN"/>
    <s v="germany"/>
    <n v="41243"/>
    <d v="2016-06-05T00:00:00"/>
    <n v="3"/>
    <s v="Unknown"/>
    <s v="user143@example.com"/>
    <n v="19"/>
    <s v="user143@example.com"/>
  </r>
  <r>
    <x v="75"/>
    <x v="0"/>
    <s v="SALES"/>
    <s v="unknown"/>
    <n v="96142"/>
    <d v="2016-06-12T00:00:00"/>
    <n v="1"/>
    <s v="Other"/>
    <s v="user17@example.com"/>
    <n v="12"/>
    <s v="user17@example.com"/>
  </r>
  <r>
    <x v="76"/>
    <x v="1"/>
    <s v="IT"/>
    <s v="india"/>
    <n v="94301"/>
    <d v="2016-06-19T00:00:00"/>
    <n v="1"/>
    <s v="Male"/>
    <s v="user20@example.com"/>
    <n v="5"/>
    <s v="user20@example.com"/>
  </r>
  <r>
    <x v="77"/>
    <x v="4"/>
    <s v="UNKNOWN"/>
    <s v="uk"/>
    <n v="69166"/>
    <d v="2016-06-26T00:00:00"/>
    <n v="1"/>
    <s v="Female"/>
    <s v="user22@example.com"/>
    <n v="29"/>
    <s v="user22@example.com"/>
  </r>
  <r>
    <x v="78"/>
    <x v="5"/>
    <s v="UNKNOWN"/>
    <s v="uk"/>
    <n v="78245"/>
    <d v="2016-07-03T00:00:00"/>
    <n v="2"/>
    <s v="Unknown"/>
    <s v="user46@example.com"/>
    <n v="21"/>
    <s v="user46@example.com"/>
  </r>
  <r>
    <x v="79"/>
    <x v="6"/>
    <s v="SALES"/>
    <s v="usa"/>
    <n v="66079"/>
    <d v="2016-07-10T00:00:00"/>
    <n v="2"/>
    <s v="Other"/>
    <s v="user55@example.com"/>
    <n v="14"/>
    <s v="user55@example.com"/>
  </r>
  <r>
    <x v="80"/>
    <x v="1"/>
    <s v="MARKETING"/>
    <s v="india"/>
    <n v="63687"/>
    <s v="Unknown"/>
    <n v="3"/>
    <s v="Unknown"/>
    <s v="user135@example.com"/>
    <n v="0"/>
    <s v="user135@example.com"/>
  </r>
  <r>
    <x v="81"/>
    <x v="4"/>
    <s v="SALES"/>
    <s v="usa"/>
    <n v="95621"/>
    <d v="2016-07-24T00:00:00"/>
    <n v="3"/>
    <s v="Female"/>
    <s v="user156@example.com"/>
    <n v="0"/>
    <s v="user156@example.com"/>
  </r>
  <r>
    <x v="82"/>
    <x v="1"/>
    <s v="IT"/>
    <s v="uk"/>
    <n v="42262"/>
    <d v="2016-07-31T00:00:00"/>
    <n v="1"/>
    <s v="Unknown"/>
    <s v="user104@example.com"/>
    <n v="24"/>
    <s v="user104@example.com"/>
  </r>
  <r>
    <x v="83"/>
    <x v="5"/>
    <s v="SALES"/>
    <s v="india"/>
    <n v="99621"/>
    <d v="2016-08-07T00:00:00"/>
    <n v="3"/>
    <s v="Other"/>
    <s v="user145@example.com"/>
    <n v="17"/>
    <s v="user145@example.com"/>
  </r>
  <r>
    <x v="84"/>
    <x v="3"/>
    <s v="MARKETING"/>
    <s v="india"/>
    <n v="44682"/>
    <d v="2016-08-14T00:00:00"/>
    <n v="4"/>
    <s v="Female"/>
    <s v="user47@example.com"/>
    <n v="10"/>
    <s v="user47@example.com"/>
  </r>
  <r>
    <x v="85"/>
    <x v="6"/>
    <s v="FINANCE"/>
    <s v="unknown"/>
    <n v="35163"/>
    <d v="2016-08-21T00:00:00"/>
    <n v="5"/>
    <s v="Other"/>
    <s v="user197@example.com"/>
    <n v="3"/>
    <s v="user197@example.com"/>
  </r>
  <r>
    <x v="86"/>
    <x v="6"/>
    <s v="IT"/>
    <s v="india"/>
    <n v="33483"/>
    <d v="2016-08-28T00:00:00"/>
    <n v="4"/>
    <s v="Male"/>
    <s v="user177@example.com"/>
    <n v="27"/>
    <s v="user177@example.com"/>
  </r>
  <r>
    <x v="87"/>
    <x v="5"/>
    <s v="HR"/>
    <s v="germany"/>
    <n v="55303"/>
    <d v="2016-09-04T00:00:00"/>
    <n v="4"/>
    <s v="Male"/>
    <s v="user149@example.com"/>
    <n v="20"/>
    <s v="user149@example.com"/>
  </r>
  <r>
    <x v="88"/>
    <x v="6"/>
    <s v="IT"/>
    <s v="unknown"/>
    <n v="63434"/>
    <d v="2016-09-11T00:00:00"/>
    <n v="3"/>
    <s v="Unknown"/>
    <s v="user48@example.com"/>
    <n v="13"/>
    <s v="user48@example.com"/>
  </r>
  <r>
    <x v="89"/>
    <x v="4"/>
    <s v="UNKNOWN"/>
    <s v="australia"/>
    <n v="38830"/>
    <d v="2016-09-18T00:00:00"/>
    <n v="3"/>
    <s v="Other"/>
    <s v="user149@example.com"/>
    <n v="6"/>
    <s v="user149@example.com"/>
  </r>
  <r>
    <x v="90"/>
    <x v="0"/>
    <s v="MARKETING"/>
    <s v="uk"/>
    <n v="50741"/>
    <d v="2016-09-25T00:00:00"/>
    <n v="3"/>
    <s v="Unknown"/>
    <s v="user65@example.com"/>
    <n v="30"/>
    <s v="user65@example.com"/>
  </r>
  <r>
    <x v="91"/>
    <x v="2"/>
    <s v="HR"/>
    <s v="australia"/>
    <n v="69420"/>
    <d v="2016-10-02T00:00:00"/>
    <n v="1"/>
    <s v="Male"/>
    <s v="user43@example.com"/>
    <n v="22"/>
    <s v="user43@example.com"/>
  </r>
  <r>
    <x v="92"/>
    <x v="4"/>
    <s v="IT"/>
    <s v="unknown"/>
    <n v="80588"/>
    <d v="2016-10-09T00:00:00"/>
    <n v="5"/>
    <s v="Male"/>
    <s v="user98@example.com"/>
    <n v="15"/>
    <s v="user98@example.com"/>
  </r>
  <r>
    <x v="93"/>
    <x v="2"/>
    <s v="UNKNOWN"/>
    <s v="usa"/>
    <n v="76238"/>
    <d v="2016-10-16T00:00:00"/>
    <n v="4"/>
    <s v="Male"/>
    <s v="user102@example.com"/>
    <n v="8"/>
    <s v="user102@example.com"/>
  </r>
  <r>
    <x v="94"/>
    <x v="7"/>
    <s v="IT"/>
    <s v="india"/>
    <n v="33264"/>
    <d v="2016-10-23T00:00:00"/>
    <n v="3"/>
    <s v="Female"/>
    <s v="user148@example.com"/>
    <n v="1"/>
    <s v="user148@example.com"/>
  </r>
  <r>
    <x v="95"/>
    <x v="2"/>
    <s v="FINANCE"/>
    <s v="australia"/>
    <n v="96101"/>
    <d v="2016-10-30T00:00:00"/>
    <n v="3"/>
    <s v="Other"/>
    <s v="user155@example.com"/>
    <n v="25"/>
    <s v="user155@example.com"/>
  </r>
  <r>
    <x v="96"/>
    <x v="4"/>
    <s v="FINANCE"/>
    <s v="usa"/>
    <n v="72939"/>
    <d v="2016-11-06T00:00:00"/>
    <n v="3"/>
    <s v="Unknown"/>
    <s v="user191@example.com"/>
    <n v="18"/>
    <s v="user191@example.com"/>
  </r>
  <r>
    <x v="97"/>
    <x v="5"/>
    <s v="HR"/>
    <s v="germany"/>
    <n v="89333"/>
    <d v="2016-11-13T00:00:00"/>
    <n v="1"/>
    <s v="Male"/>
    <s v="user113@example.com"/>
    <n v="11"/>
    <s v="user113@example.com"/>
  </r>
  <r>
    <x v="98"/>
    <x v="7"/>
    <s v="IT"/>
    <s v="australia"/>
    <n v="70470"/>
    <d v="2016-11-20T00:00:00"/>
    <n v="3"/>
    <s v="Male"/>
    <s v="user62@example.com"/>
    <n v="4"/>
    <s v="user62@example.com"/>
  </r>
  <r>
    <x v="99"/>
    <x v="1"/>
    <s v="MARKETING"/>
    <s v="usa"/>
    <n v="70096"/>
    <d v="2016-11-27T00:00:00"/>
    <n v="4"/>
    <s v="Male"/>
    <s v="user76@example.com"/>
    <n v="28"/>
    <s v="user76@example.com"/>
  </r>
  <r>
    <x v="100"/>
    <x v="7"/>
    <s v="MARKETING"/>
    <s v="unknown"/>
    <n v="63687"/>
    <d v="2016-12-04T00:00:00"/>
    <n v="2"/>
    <s v="Other"/>
    <s v="user40@example.com"/>
    <n v="20"/>
    <s v="user40@example.com"/>
  </r>
  <r>
    <x v="101"/>
    <x v="7"/>
    <s v="IT"/>
    <s v="germany"/>
    <n v="66503"/>
    <d v="2016-12-11T00:00:00"/>
    <n v="3"/>
    <s v="Male"/>
    <s v="user200@example.com"/>
    <n v="13"/>
    <s v="user200@example.com"/>
  </r>
  <r>
    <x v="102"/>
    <x v="2"/>
    <s v="HR"/>
    <s v="germany"/>
    <n v="42096"/>
    <d v="2016-12-18T00:00:00"/>
    <n v="3"/>
    <s v="Female"/>
    <s v="user54@example.com"/>
    <n v="6"/>
    <s v="user54@example.com"/>
  </r>
  <r>
    <x v="103"/>
    <x v="2"/>
    <s v="MARKETING"/>
    <s v="unknown"/>
    <n v="79145"/>
    <d v="2016-12-25T00:00:00"/>
    <n v="5"/>
    <s v="Other"/>
    <s v="user20@example.com"/>
    <n v="30"/>
    <s v="user20@example.com"/>
  </r>
  <r>
    <x v="104"/>
    <x v="4"/>
    <s v="UNKNOWN"/>
    <s v="australia"/>
    <n v="61556"/>
    <d v="2017-01-01T00:00:00"/>
    <n v="1"/>
    <s v="Unknown"/>
    <s v="user40@example.com"/>
    <n v="23"/>
    <s v="user40@example.com"/>
  </r>
  <r>
    <x v="105"/>
    <x v="0"/>
    <s v="HR"/>
    <s v="uk"/>
    <n v="87963"/>
    <d v="2017-01-08T00:00:00"/>
    <n v="3"/>
    <s v="Other"/>
    <s v="invalid_email"/>
    <n v="16"/>
    <s v="unknown"/>
  </r>
  <r>
    <x v="106"/>
    <x v="1"/>
    <s v="IT"/>
    <s v="unknown"/>
    <n v="48325"/>
    <d v="2017-01-15T00:00:00"/>
    <n v="3"/>
    <s v="Male"/>
    <s v="user189@example.com"/>
    <n v="9"/>
    <s v="user189@example.com"/>
  </r>
  <r>
    <x v="107"/>
    <x v="5"/>
    <s v="MARKETING"/>
    <s v="australia"/>
    <n v="86412"/>
    <d v="2017-01-22T00:00:00"/>
    <n v="2"/>
    <s v="Female"/>
    <s v="user128@example.com"/>
    <n v="2"/>
    <s v="user128@example.com"/>
  </r>
  <r>
    <x v="108"/>
    <x v="5"/>
    <s v="HR"/>
    <s v="unknown"/>
    <n v="66761"/>
    <d v="2017-01-29T00:00:00"/>
    <n v="1"/>
    <s v="Unknown"/>
    <s v="user93@example.com"/>
    <n v="26"/>
    <s v="user93@example.com"/>
  </r>
  <r>
    <x v="109"/>
    <x v="4"/>
    <s v="UNKNOWN"/>
    <s v="india"/>
    <n v="88850"/>
    <d v="2017-02-05T00:00:00"/>
    <n v="1"/>
    <s v="Female"/>
    <s v="user174@example.com"/>
    <n v="19"/>
    <s v="user174@example.com"/>
  </r>
  <r>
    <x v="110"/>
    <x v="6"/>
    <s v="SALES"/>
    <s v="india"/>
    <n v="31293"/>
    <s v="Unknown"/>
    <n v="2"/>
    <s v="Female"/>
    <s v="user44@example.com"/>
    <n v="0"/>
    <s v="user44@example.com"/>
  </r>
  <r>
    <x v="111"/>
    <x v="6"/>
    <s v="IT"/>
    <s v="usa"/>
    <n v="34306"/>
    <d v="2017-02-19T00:00:00"/>
    <n v="5"/>
    <s v="Female"/>
    <s v="user192@example.com"/>
    <n v="5"/>
    <s v="user192@example.com"/>
  </r>
  <r>
    <x v="112"/>
    <x v="1"/>
    <s v="FINANCE"/>
    <s v="india"/>
    <n v="78330"/>
    <d v="2017-02-26T00:00:00"/>
    <n v="3"/>
    <s v="Other"/>
    <s v="user76@example.com"/>
    <n v="29"/>
    <s v="user76@example.com"/>
  </r>
  <r>
    <x v="113"/>
    <x v="2"/>
    <s v="IT"/>
    <s v="usa"/>
    <n v="47653"/>
    <d v="2017-03-05T00:00:00"/>
    <n v="1"/>
    <s v="Male"/>
    <s v="user82@example.com"/>
    <n v="19"/>
    <s v="user82@example.com"/>
  </r>
  <r>
    <x v="114"/>
    <x v="1"/>
    <s v="MARKETING"/>
    <s v="uk"/>
    <n v="44627"/>
    <d v="2017-03-12T00:00:00"/>
    <n v="4"/>
    <s v="Unknown"/>
    <s v="user97@example.com"/>
    <n v="12"/>
    <s v="user97@example.com"/>
  </r>
  <r>
    <x v="115"/>
    <x v="7"/>
    <s v="HR"/>
    <s v="germany"/>
    <n v="92343"/>
    <d v="2017-03-19T00:00:00"/>
    <n v="4"/>
    <s v="Female"/>
    <s v="user149@example.com"/>
    <n v="5"/>
    <s v="user149@example.com"/>
  </r>
  <r>
    <x v="116"/>
    <x v="7"/>
    <s v="MARKETING"/>
    <s v="australia"/>
    <n v="38837"/>
    <d v="2017-03-26T00:00:00"/>
    <n v="5"/>
    <s v="Female"/>
    <s v="user192@example.com"/>
    <n v="29"/>
    <s v="user192@example.com"/>
  </r>
  <r>
    <x v="117"/>
    <x v="7"/>
    <s v="MARKETING"/>
    <s v="unknown"/>
    <n v="73483"/>
    <d v="2017-04-02T00:00:00"/>
    <n v="1"/>
    <s v="Unknown"/>
    <s v="user137@example.com"/>
    <n v="22"/>
    <s v="user137@example.com"/>
  </r>
  <r>
    <x v="118"/>
    <x v="6"/>
    <s v="SALES"/>
    <s v="india"/>
    <n v="95032"/>
    <d v="2017-04-09T00:00:00"/>
    <n v="3"/>
    <s v="Unknown"/>
    <s v="user23@example.com"/>
    <n v="15"/>
    <s v="user23@example.com"/>
  </r>
  <r>
    <x v="119"/>
    <x v="1"/>
    <s v="SALES"/>
    <s v="australia"/>
    <n v="44358"/>
    <d v="2017-04-16T00:00:00"/>
    <n v="3"/>
    <s v="Female"/>
    <s v="user200@example.com"/>
    <n v="8"/>
    <s v="user200@example.com"/>
  </r>
  <r>
    <x v="120"/>
    <x v="0"/>
    <s v="IT"/>
    <s v="usa"/>
    <n v="66158"/>
    <s v="Unknown"/>
    <n v="5"/>
    <s v="Unknown"/>
    <s v="user101@example.com"/>
    <n v="0"/>
    <s v="user101@example.com"/>
  </r>
  <r>
    <x v="121"/>
    <x v="6"/>
    <s v="SALES"/>
    <s v="usa"/>
    <n v="45676"/>
    <d v="2017-04-30T00:00:00"/>
    <n v="2"/>
    <s v="Unknown"/>
    <s v="user132@example.com"/>
    <n v="25"/>
    <s v="user132@example.com"/>
  </r>
  <r>
    <x v="122"/>
    <x v="7"/>
    <s v="SALES"/>
    <s v="germany"/>
    <n v="52036"/>
    <d v="2017-05-07T00:00:00"/>
    <n v="3"/>
    <s v="Male"/>
    <s v="user171@example.com"/>
    <n v="17"/>
    <s v="user171@example.com"/>
  </r>
  <r>
    <x v="123"/>
    <x v="4"/>
    <s v="UNKNOWN"/>
    <s v="germany"/>
    <n v="30357"/>
    <d v="2017-05-14T00:00:00"/>
    <n v="5"/>
    <s v="Male"/>
    <s v="user145@example.com"/>
    <n v="10"/>
    <s v="user145@example.com"/>
  </r>
  <r>
    <x v="124"/>
    <x v="3"/>
    <s v="IT"/>
    <s v="unknown"/>
    <n v="60034"/>
    <d v="2017-05-21T00:00:00"/>
    <n v="1"/>
    <s v="Female"/>
    <s v="user75@example.com"/>
    <n v="3"/>
    <s v="user75@example.com"/>
  </r>
  <r>
    <x v="125"/>
    <x v="3"/>
    <s v="FINANCE"/>
    <s v="unknown"/>
    <n v="90019"/>
    <d v="2017-05-28T00:00:00"/>
    <n v="5"/>
    <s v="Unknown"/>
    <s v="user52@example.com"/>
    <n v="27"/>
    <s v="user52@example.com"/>
  </r>
  <r>
    <x v="126"/>
    <x v="7"/>
    <s v="UNKNOWN"/>
    <s v="germany"/>
    <n v="71494"/>
    <d v="2017-06-04T00:00:00"/>
    <n v="3"/>
    <s v="Male"/>
    <s v="user100@example.com"/>
    <n v="20"/>
    <s v="user100@example.com"/>
  </r>
  <r>
    <x v="127"/>
    <x v="3"/>
    <s v="FINANCE"/>
    <s v="usa"/>
    <n v="91953"/>
    <d v="2017-06-11T00:00:00"/>
    <n v="2"/>
    <s v="Male"/>
    <s v="user83@example.com"/>
    <n v="13"/>
    <s v="user83@example.com"/>
  </r>
  <r>
    <x v="128"/>
    <x v="6"/>
    <s v="SALES"/>
    <s v="usa"/>
    <n v="30402"/>
    <d v="2017-06-18T00:00:00"/>
    <n v="1"/>
    <s v="Unknown"/>
    <s v="user167@example.com"/>
    <n v="6"/>
    <s v="user167@example.com"/>
  </r>
  <r>
    <x v="129"/>
    <x v="7"/>
    <s v="UNKNOWN"/>
    <s v="uk"/>
    <n v="62994"/>
    <d v="2017-06-25T00:00:00"/>
    <n v="3"/>
    <s v="Unknown"/>
    <s v="user175@example.com"/>
    <n v="30"/>
    <s v="user175@example.com"/>
  </r>
  <r>
    <x v="130"/>
    <x v="2"/>
    <s v="SALES"/>
    <s v="india"/>
    <n v="48289"/>
    <s v="Unknown"/>
    <n v="3"/>
    <s v="Male"/>
    <s v="user25@example.com"/>
    <n v="0"/>
    <s v="user25@example.com"/>
  </r>
  <r>
    <x v="131"/>
    <x v="5"/>
    <s v="MARKETING"/>
    <s v="germany"/>
    <n v="34402"/>
    <d v="2017-07-09T00:00:00"/>
    <n v="3"/>
    <s v="Other"/>
    <s v="user42@example.com"/>
    <n v="15"/>
    <s v="user42@example.com"/>
  </r>
  <r>
    <x v="132"/>
    <x v="1"/>
    <s v="HR"/>
    <s v="usa"/>
    <n v="38678"/>
    <d v="2017-07-16T00:00:00"/>
    <n v="3"/>
    <s v="Other"/>
    <s v="user188@example.com"/>
    <n v="8"/>
    <s v="user188@example.com"/>
  </r>
  <r>
    <x v="133"/>
    <x v="6"/>
    <s v="HR"/>
    <s v="germany"/>
    <n v="45758"/>
    <d v="2017-07-23T00:00:00"/>
    <n v="3"/>
    <s v="Unknown"/>
    <s v="user44@example.com"/>
    <n v="1"/>
    <s v="user44@example.com"/>
  </r>
  <r>
    <x v="134"/>
    <x v="1"/>
    <s v="MARKETING"/>
    <s v="india"/>
    <n v="62476"/>
    <d v="2017-07-30T00:00:00"/>
    <n v="1"/>
    <s v="Other"/>
    <s v="user63@example.com"/>
    <n v="25"/>
    <s v="user63@example.com"/>
  </r>
  <r>
    <x v="135"/>
    <x v="0"/>
    <s v="IT"/>
    <s v="uk"/>
    <n v="39280"/>
    <d v="2017-08-06T00:00:00"/>
    <n v="3"/>
    <s v="Female"/>
    <s v="user198@example.com"/>
    <n v="18"/>
    <s v="user198@example.com"/>
  </r>
  <r>
    <x v="136"/>
    <x v="4"/>
    <s v="FINANCE"/>
    <s v="india"/>
    <n v="60335"/>
    <d v="2017-08-13T00:00:00"/>
    <n v="4"/>
    <s v="Other"/>
    <s v="user59@example.com"/>
    <n v="11"/>
    <s v="user59@example.com"/>
  </r>
  <r>
    <x v="137"/>
    <x v="6"/>
    <s v="HR"/>
    <s v="germany"/>
    <n v="84968"/>
    <d v="2017-08-20T00:00:00"/>
    <n v="3"/>
    <s v="Unknown"/>
    <s v="user165@example.com"/>
    <n v="4"/>
    <s v="user165@example.com"/>
  </r>
  <r>
    <x v="138"/>
    <x v="6"/>
    <s v="MARKETING"/>
    <s v="australia"/>
    <n v="84750"/>
    <d v="2017-08-27T00:00:00"/>
    <n v="4"/>
    <s v="Female"/>
    <s v="user3@example.com"/>
    <n v="28"/>
    <s v="user3@example.com"/>
  </r>
  <r>
    <x v="139"/>
    <x v="7"/>
    <s v="IT"/>
    <s v="unknown"/>
    <n v="73348"/>
    <d v="2017-09-03T00:00:00"/>
    <n v="2"/>
    <s v="Unknown"/>
    <s v="user22@example.com"/>
    <n v="21"/>
    <s v="user22@example.com"/>
  </r>
  <r>
    <x v="140"/>
    <x v="6"/>
    <s v="SALES"/>
    <s v="usa"/>
    <n v="67929"/>
    <d v="2017-09-10T00:00:00"/>
    <n v="4"/>
    <s v="Other"/>
    <s v="invalid_email"/>
    <n v="14"/>
    <s v="unknown"/>
  </r>
  <r>
    <x v="141"/>
    <x v="4"/>
    <s v="MARKETING"/>
    <s v="usa"/>
    <n v="66882"/>
    <d v="2017-09-17T00:00:00"/>
    <n v="5"/>
    <s v="Other"/>
    <s v="user103@example.com"/>
    <n v="7"/>
    <s v="user103@example.com"/>
  </r>
  <r>
    <x v="142"/>
    <x v="2"/>
    <s v="MARKETING"/>
    <s v="unknown"/>
    <n v="86775"/>
    <d v="2017-09-24T00:00:00"/>
    <n v="3"/>
    <s v="Other"/>
    <s v="user190@example.com"/>
    <n v="0"/>
    <s v="user190@example.com"/>
  </r>
  <r>
    <x v="143"/>
    <x v="6"/>
    <s v="SALES"/>
    <s v="uk"/>
    <n v="91620"/>
    <d v="2017-10-01T00:00:00"/>
    <n v="3"/>
    <s v="Unknown"/>
    <s v="user114@example.com"/>
    <n v="23"/>
    <s v="user114@example.com"/>
  </r>
  <r>
    <x v="144"/>
    <x v="1"/>
    <s v="UNKNOWN"/>
    <s v="unknown"/>
    <n v="94148"/>
    <d v="2017-10-08T00:00:00"/>
    <n v="2"/>
    <s v="Unknown"/>
    <s v="user53@example.com"/>
    <n v="16"/>
    <s v="user53@example.com"/>
  </r>
  <r>
    <x v="145"/>
    <x v="5"/>
    <s v="SALES"/>
    <s v="australia"/>
    <n v="35627"/>
    <d v="2017-10-15T00:00:00"/>
    <n v="5"/>
    <s v="Female"/>
    <s v="user188@example.com"/>
    <n v="9"/>
    <s v="user188@example.com"/>
  </r>
  <r>
    <x v="146"/>
    <x v="3"/>
    <s v="MARKETING"/>
    <s v="usa"/>
    <n v="57141"/>
    <d v="2017-10-22T00:00:00"/>
    <n v="2"/>
    <s v="Unknown"/>
    <s v="user165@example.com"/>
    <n v="2"/>
    <s v="user165@example.com"/>
  </r>
  <r>
    <x v="147"/>
    <x v="7"/>
    <s v="SALES"/>
    <s v="australia"/>
    <n v="65270"/>
    <d v="2017-10-29T00:00:00"/>
    <n v="1"/>
    <s v="Unknown"/>
    <s v="user163@example.com"/>
    <n v="26"/>
    <s v="user163@example.com"/>
  </r>
  <r>
    <x v="148"/>
    <x v="7"/>
    <s v="UNKNOWN"/>
    <s v="uk"/>
    <n v="67335"/>
    <d v="2017-11-05T00:00:00"/>
    <n v="1"/>
    <s v="Other"/>
    <s v="user112@example.com"/>
    <n v="19"/>
    <s v="user112@example.com"/>
  </r>
  <r>
    <x v="149"/>
    <x v="5"/>
    <s v="MARKETING"/>
    <s v="india"/>
    <n v="98475"/>
    <d v="2017-11-12T00:00:00"/>
    <n v="5"/>
    <s v="Other"/>
    <s v="user30@example.com"/>
    <n v="12"/>
    <s v="user30@example.co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s v="FINANCE"/>
    <x v="0"/>
    <n v="65605"/>
    <s v="Unknown"/>
    <n v="2"/>
    <s v="Unknown"/>
    <s v="invalid_email"/>
    <n v="0"/>
    <s v="unknown"/>
  </r>
  <r>
    <x v="1"/>
    <s v="Eve Adams"/>
    <s v="HR"/>
    <x v="1"/>
    <n v="54255"/>
    <d v="2015-01-11T00:00:00"/>
    <n v="1"/>
    <s v="Other"/>
    <s v="user106@example.com"/>
    <n v="13"/>
    <s v="user106@example.com"/>
  </r>
  <r>
    <x v="2"/>
    <s v="Alice Brown"/>
    <s v="FINANCE"/>
    <x v="1"/>
    <n v="63184"/>
    <d v="2015-01-18T00:00:00"/>
    <n v="2"/>
    <s v="Unknown"/>
    <s v="user176@example.com"/>
    <n v="6"/>
    <s v="user176@example.com"/>
  </r>
  <r>
    <x v="3"/>
    <s v="John Doe"/>
    <s v="SALES"/>
    <x v="2"/>
    <n v="94406"/>
    <d v="2015-01-25T00:00:00"/>
    <n v="1"/>
    <s v="Male"/>
    <s v="user168@example.com"/>
    <n v="30"/>
    <s v="user168@example.com"/>
  </r>
  <r>
    <x v="4"/>
    <s v="Jane Smith"/>
    <s v="SALES"/>
    <x v="1"/>
    <n v="64120"/>
    <d v="2015-02-01T00:00:00"/>
    <n v="1"/>
    <s v="Male"/>
    <s v="user49@example.com"/>
    <n v="23"/>
    <s v="user49@example.com"/>
  </r>
  <r>
    <x v="5"/>
    <s v="Alice Brown"/>
    <s v="IT"/>
    <x v="3"/>
    <n v="78421"/>
    <d v="2015-02-08T00:00:00"/>
    <n v="2"/>
    <s v="Female"/>
    <s v="user24@example.com"/>
    <n v="16"/>
    <s v="user24@example.com"/>
  </r>
  <r>
    <x v="6"/>
    <s v="Sam Wilson"/>
    <s v="SALES"/>
    <x v="0"/>
    <n v="67721"/>
    <d v="2015-02-15T00:00:00"/>
    <n v="3"/>
    <s v="Male"/>
    <s v="user168@example.com"/>
    <n v="9"/>
    <s v="user168@example.com"/>
  </r>
  <r>
    <x v="7"/>
    <s v="Chris Lee"/>
    <s v="MARKETING"/>
    <x v="0"/>
    <n v="35364"/>
    <d v="2015-02-22T00:00:00"/>
    <n v="2"/>
    <s v="Other"/>
    <s v="user26@example.com"/>
    <n v="2"/>
    <s v="user26@example.com"/>
  </r>
  <r>
    <x v="8"/>
    <s v="Alice Brown"/>
    <s v="IT"/>
    <x v="1"/>
    <n v="97881"/>
    <d v="2015-03-01T00:00:00"/>
    <n v="3"/>
    <s v="Female"/>
    <s v="user25@example.com"/>
    <n v="23"/>
    <s v="user25@example.com"/>
  </r>
  <r>
    <x v="9"/>
    <s v="Chris Lee"/>
    <s v="HR"/>
    <x v="4"/>
    <n v="91846"/>
    <d v="2015-03-08T00:00:00"/>
    <n v="3"/>
    <s v="Male"/>
    <s v="user153@example.com"/>
    <n v="16"/>
    <s v="user153@example.com"/>
  </r>
  <r>
    <x v="10"/>
    <s v="Sam Wilson"/>
    <s v="FINANCE"/>
    <x v="4"/>
    <n v="64247"/>
    <d v="2015-03-15T00:00:00"/>
    <n v="1"/>
    <s v="Female"/>
    <s v="user18@example.com"/>
    <n v="9"/>
    <s v="user18@example.com"/>
  </r>
  <r>
    <x v="11"/>
    <s v="Sam Wilson"/>
    <s v="IT"/>
    <x v="2"/>
    <n v="91180"/>
    <d v="2015-03-22T00:00:00"/>
    <n v="5"/>
    <s v="Male"/>
    <s v="user1@example.com"/>
    <n v="2"/>
    <s v="user1@example.com"/>
  </r>
  <r>
    <x v="12"/>
    <s v="Bob Johnson"/>
    <s v="SALES"/>
    <x v="0"/>
    <n v="96418"/>
    <d v="2015-03-29T00:00:00"/>
    <n v="5"/>
    <s v="Male"/>
    <s v="user106@example.com"/>
    <n v="26"/>
    <s v="user106@example.com"/>
  </r>
  <r>
    <x v="13"/>
    <s v="Sam Wilson"/>
    <s v="UNKNOWN"/>
    <x v="3"/>
    <n v="62158"/>
    <d v="2015-04-05T00:00:00"/>
    <n v="4"/>
    <s v="Unknown"/>
    <s v="user180@example.com"/>
    <n v="19"/>
    <s v="user180@example.com"/>
  </r>
  <r>
    <x v="14"/>
    <s v="Jane Smith"/>
    <s v="HR"/>
    <x v="0"/>
    <n v="59894"/>
    <d v="2015-04-12T00:00:00"/>
    <n v="2"/>
    <s v="Male"/>
    <s v="user184@example.com"/>
    <n v="12"/>
    <s v="user184@example.com"/>
  </r>
  <r>
    <x v="15"/>
    <s v="Unknown"/>
    <s v="IT"/>
    <x v="3"/>
    <n v="92443"/>
    <d v="2015-04-19T00:00:00"/>
    <n v="3"/>
    <s v="Other"/>
    <s v="user3@example.com"/>
    <n v="5"/>
    <s v="user3@example.com"/>
  </r>
  <r>
    <x v="16"/>
    <s v="Bob Johnson"/>
    <s v="UNKNOWN"/>
    <x v="1"/>
    <n v="90271"/>
    <d v="2015-04-26T00:00:00"/>
    <n v="3"/>
    <s v="Unknown"/>
    <s v="user64@example.com"/>
    <n v="29"/>
    <s v="user64@example.com"/>
  </r>
  <r>
    <x v="17"/>
    <s v="Jane Smith"/>
    <s v="FINANCE"/>
    <x v="5"/>
    <n v="41341"/>
    <d v="2015-05-03T00:00:00"/>
    <n v="1"/>
    <s v="Other"/>
    <s v="user38@example.com"/>
    <n v="21"/>
    <s v="user38@example.com"/>
  </r>
  <r>
    <x v="18"/>
    <s v="Alice Brown"/>
    <s v="FINANCE"/>
    <x v="4"/>
    <n v="73602"/>
    <d v="2015-05-10T00:00:00"/>
    <n v="3"/>
    <s v="Unknown"/>
    <s v="user96@example.com"/>
    <n v="14"/>
    <s v="user96@example.com"/>
  </r>
  <r>
    <x v="19"/>
    <s v="Eve Adams"/>
    <s v="UNKNOWN"/>
    <x v="3"/>
    <n v="67531"/>
    <d v="2015-05-17T00:00:00"/>
    <n v="5"/>
    <s v="Female"/>
    <s v="user151@example.com"/>
    <n v="7"/>
    <s v="user151@example.com"/>
  </r>
  <r>
    <x v="20"/>
    <s v="Jane Smith"/>
    <s v="HR"/>
    <x v="2"/>
    <n v="67835"/>
    <d v="2015-05-24T00:00:00"/>
    <n v="2"/>
    <s v="Other"/>
    <s v="user200@example.com"/>
    <n v="0"/>
    <s v="user200@example.com"/>
  </r>
  <r>
    <x v="21"/>
    <s v="Jane Smith"/>
    <s v="HR"/>
    <x v="0"/>
    <n v="98922"/>
    <d v="2015-05-31T00:00:00"/>
    <n v="4"/>
    <s v="Unknown"/>
    <s v="user77@example.com"/>
    <n v="24"/>
    <s v="user77@example.com"/>
  </r>
  <r>
    <x v="22"/>
    <s v="Eve Adams"/>
    <s v="FINANCE"/>
    <x v="3"/>
    <n v="38333"/>
    <d v="2015-06-07T00:00:00"/>
    <n v="5"/>
    <s v="Unknown"/>
    <s v="user128@example.com"/>
    <n v="17"/>
    <s v="user128@example.com"/>
  </r>
  <r>
    <x v="23"/>
    <s v="Alice Brown"/>
    <s v="MARKETING"/>
    <x v="4"/>
    <n v="36515"/>
    <d v="2015-06-14T00:00:00"/>
    <n v="3"/>
    <s v="Male"/>
    <s v="user149@example.com"/>
    <n v="10"/>
    <s v="user149@example.com"/>
  </r>
  <r>
    <x v="24"/>
    <s v="Sam Wilson"/>
    <s v="FINANCE"/>
    <x v="0"/>
    <n v="91005"/>
    <d v="2015-06-21T00:00:00"/>
    <n v="1"/>
    <s v="Other"/>
    <s v="user122@example.com"/>
    <n v="3"/>
    <s v="user122@example.com"/>
  </r>
  <r>
    <x v="25"/>
    <s v="Chris Lee"/>
    <s v="UNKNOWN"/>
    <x v="0"/>
    <n v="52272"/>
    <d v="2015-06-28T00:00:00"/>
    <n v="3"/>
    <s v="Unknown"/>
    <s v="user41@example.com"/>
    <n v="27"/>
    <s v="user41@example.com"/>
  </r>
  <r>
    <x v="26"/>
    <s v="Eve Adams"/>
    <s v="SALES"/>
    <x v="1"/>
    <n v="76518"/>
    <d v="2015-07-05T00:00:00"/>
    <n v="2"/>
    <s v="Female"/>
    <s v="user68@example.com"/>
    <n v="19"/>
    <s v="user68@example.com"/>
  </r>
  <r>
    <x v="27"/>
    <s v="Alice Brown"/>
    <s v="IT"/>
    <x v="4"/>
    <n v="41448"/>
    <d v="2015-07-12T00:00:00"/>
    <n v="3"/>
    <s v="Other"/>
    <s v="user103@example.com"/>
    <n v="12"/>
    <s v="user103@example.com"/>
  </r>
  <r>
    <x v="28"/>
    <s v="John Doe"/>
    <s v="HR"/>
    <x v="4"/>
    <n v="49282"/>
    <d v="2015-07-19T00:00:00"/>
    <n v="2"/>
    <s v="Female"/>
    <s v="user135@example.com"/>
    <n v="5"/>
    <s v="user135@example.com"/>
  </r>
  <r>
    <x v="29"/>
    <s v="Bob Johnson"/>
    <s v="MARKETING"/>
    <x v="4"/>
    <n v="92959"/>
    <d v="2015-07-26T00:00:00"/>
    <n v="5"/>
    <s v="Unknown"/>
    <s v="user83@example.com"/>
    <n v="29"/>
    <s v="user83@example.com"/>
  </r>
  <r>
    <x v="30"/>
    <s v="Unknown"/>
    <s v="MARKETING"/>
    <x v="0"/>
    <n v="92259"/>
    <s v="Unknown"/>
    <n v="1"/>
    <s v="Unknown"/>
    <s v="user109@example.com"/>
    <n v="0"/>
    <s v="user109@example.com"/>
  </r>
  <r>
    <x v="31"/>
    <s v="Eve Adams"/>
    <s v="HR"/>
    <x v="1"/>
    <n v="92299"/>
    <d v="2015-08-09T00:00:00"/>
    <n v="3"/>
    <s v="Male"/>
    <s v="user143@example.com"/>
    <n v="15"/>
    <s v="user143@example.com"/>
  </r>
  <r>
    <x v="32"/>
    <s v="Sam Wilson"/>
    <s v="HR"/>
    <x v="0"/>
    <n v="95586"/>
    <d v="2015-08-16T00:00:00"/>
    <n v="3"/>
    <s v="Other"/>
    <s v="user190@example.com"/>
    <n v="8"/>
    <s v="user190@example.com"/>
  </r>
  <r>
    <x v="33"/>
    <s v="Chris Lee"/>
    <s v="UNKNOWN"/>
    <x v="2"/>
    <n v="95367"/>
    <d v="2015-08-23T00:00:00"/>
    <n v="3"/>
    <s v="Male"/>
    <s v="user136@example.com"/>
    <n v="1"/>
    <s v="user136@example.com"/>
  </r>
  <r>
    <x v="34"/>
    <s v="John Doe"/>
    <s v="SALES"/>
    <x v="5"/>
    <n v="79549"/>
    <d v="2015-08-30T00:00:00"/>
    <n v="3"/>
    <s v="Unknown"/>
    <s v="user198@example.com"/>
    <n v="25"/>
    <s v="user198@example.com"/>
  </r>
  <r>
    <x v="35"/>
    <s v="Alice Brown"/>
    <s v="UNKNOWN"/>
    <x v="4"/>
    <n v="54463"/>
    <d v="2015-09-06T00:00:00"/>
    <n v="4"/>
    <s v="Male"/>
    <s v="invalid_email"/>
    <n v="18"/>
    <s v="unknown"/>
  </r>
  <r>
    <x v="36"/>
    <s v="Alice Brown"/>
    <s v="IT"/>
    <x v="2"/>
    <n v="89781"/>
    <d v="2015-09-13T00:00:00"/>
    <n v="3"/>
    <s v="Female"/>
    <s v="user31@example.com"/>
    <n v="11"/>
    <s v="user31@example.com"/>
  </r>
  <r>
    <x v="37"/>
    <s v="Alice Brown"/>
    <s v="HR"/>
    <x v="0"/>
    <n v="64796"/>
    <d v="2015-09-20T00:00:00"/>
    <n v="3"/>
    <s v="Other"/>
    <s v="user98@example.com"/>
    <n v="4"/>
    <s v="user98@example.com"/>
  </r>
  <r>
    <x v="38"/>
    <s v="John Doe"/>
    <s v="MARKETING"/>
    <x v="4"/>
    <n v="52093"/>
    <d v="2015-09-27T00:00:00"/>
    <n v="5"/>
    <s v="Unknown"/>
    <s v="user154@example.com"/>
    <n v="28"/>
    <s v="user154@example.com"/>
  </r>
  <r>
    <x v="39"/>
    <s v="Chris Lee"/>
    <s v="HR"/>
    <x v="4"/>
    <n v="48224"/>
    <d v="2015-10-04T00:00:00"/>
    <n v="3"/>
    <s v="Unknown"/>
    <s v="user42@example.com"/>
    <n v="20"/>
    <s v="user42@example.com"/>
  </r>
  <r>
    <x v="40"/>
    <s v="Bob Johnson"/>
    <s v="FINANCE"/>
    <x v="4"/>
    <n v="65605"/>
    <s v="Unknown"/>
    <n v="4"/>
    <s v="Female"/>
    <s v="user89@example.com"/>
    <n v="0"/>
    <s v="user89@example.com"/>
  </r>
  <r>
    <x v="41"/>
    <s v="Alice Brown"/>
    <s v="IT"/>
    <x v="1"/>
    <n v="33956"/>
    <d v="2015-10-18T00:00:00"/>
    <n v="3"/>
    <s v="Unknown"/>
    <s v="user47@example.com"/>
    <n v="6"/>
    <s v="user47@example.com"/>
  </r>
  <r>
    <x v="42"/>
    <s v="Bob Johnson"/>
    <s v="UNKNOWN"/>
    <x v="5"/>
    <n v="64913"/>
    <d v="2015-10-25T00:00:00"/>
    <n v="1"/>
    <s v="Female"/>
    <s v="user175@example.com"/>
    <n v="30"/>
    <s v="user175@example.com"/>
  </r>
  <r>
    <x v="43"/>
    <s v="Alice Brown"/>
    <s v="MARKETING"/>
    <x v="5"/>
    <n v="35326"/>
    <d v="2015-11-01T00:00:00"/>
    <n v="3"/>
    <s v="Female"/>
    <s v="user57@example.com"/>
    <n v="23"/>
    <s v="user57@example.com"/>
  </r>
  <r>
    <x v="44"/>
    <s v="Chris Lee"/>
    <s v="FINANCE"/>
    <x v="0"/>
    <n v="81610"/>
    <d v="2015-11-08T00:00:00"/>
    <n v="1"/>
    <s v="Unknown"/>
    <s v="user20@example.com"/>
    <n v="16"/>
    <s v="user20@example.com"/>
  </r>
  <r>
    <x v="45"/>
    <s v="Unknown"/>
    <s v="HR"/>
    <x v="0"/>
    <n v="58962"/>
    <d v="2015-11-15T00:00:00"/>
    <n v="3"/>
    <s v="Other"/>
    <s v="user106@example.com"/>
    <n v="9"/>
    <s v="user106@example.com"/>
  </r>
  <r>
    <x v="46"/>
    <s v="Chris Lee"/>
    <s v="IT"/>
    <x v="1"/>
    <n v="92701"/>
    <d v="2015-11-22T00:00:00"/>
    <n v="3"/>
    <s v="Other"/>
    <s v="user199@example.com"/>
    <n v="2"/>
    <s v="user199@example.com"/>
  </r>
  <r>
    <x v="47"/>
    <s v="Chris Lee"/>
    <s v="HR"/>
    <x v="3"/>
    <n v="58245"/>
    <d v="2015-11-29T00:00:00"/>
    <n v="4"/>
    <s v="Unknown"/>
    <s v="user43@example.com"/>
    <n v="26"/>
    <s v="user43@example.com"/>
  </r>
  <r>
    <x v="48"/>
    <s v="John Doe"/>
    <s v="FINANCE"/>
    <x v="0"/>
    <n v="66513"/>
    <d v="2015-12-06T00:00:00"/>
    <n v="2"/>
    <s v="Other"/>
    <s v="user24@example.com"/>
    <n v="18"/>
    <s v="user24@example.com"/>
  </r>
  <r>
    <x v="49"/>
    <s v="Eve Adams"/>
    <s v="HR"/>
    <x v="1"/>
    <n v="78720"/>
    <d v="2015-12-13T00:00:00"/>
    <n v="5"/>
    <s v="Female"/>
    <s v="user89@example.com"/>
    <n v="11"/>
    <s v="user89@example.com"/>
  </r>
  <r>
    <x v="50"/>
    <s v="Chris Lee"/>
    <s v="UNKNOWN"/>
    <x v="0"/>
    <n v="30686"/>
    <s v="Unknown"/>
    <n v="2"/>
    <s v="Female"/>
    <s v="user95@example.com"/>
    <n v="0"/>
    <s v="user95@example.com"/>
  </r>
  <r>
    <x v="51"/>
    <s v="Sam Wilson"/>
    <s v="SALES"/>
    <x v="3"/>
    <n v="39423"/>
    <d v="2015-12-27T00:00:00"/>
    <n v="5"/>
    <s v="Unknown"/>
    <s v="user59@example.com"/>
    <n v="28"/>
    <s v="user59@example.com"/>
  </r>
  <r>
    <x v="52"/>
    <s v="Eve Adams"/>
    <s v="MARKETING"/>
    <x v="0"/>
    <n v="30280"/>
    <d v="2016-01-03T00:00:00"/>
    <n v="1"/>
    <s v="Unknown"/>
    <s v="user152@example.com"/>
    <n v="21"/>
    <s v="user152@example.com"/>
  </r>
  <r>
    <x v="53"/>
    <s v="Eve Adams"/>
    <s v="FINANCE"/>
    <x v="4"/>
    <n v="33352"/>
    <d v="2016-01-10T00:00:00"/>
    <n v="3"/>
    <s v="Female"/>
    <s v="user200@example.com"/>
    <n v="14"/>
    <s v="user200@example.com"/>
  </r>
  <r>
    <x v="54"/>
    <s v="Bob Johnson"/>
    <s v="MARKETING"/>
    <x v="4"/>
    <n v="75633"/>
    <d v="2016-01-17T00:00:00"/>
    <n v="5"/>
    <s v="Other"/>
    <s v="user92@example.com"/>
    <n v="7"/>
    <s v="user92@example.com"/>
  </r>
  <r>
    <x v="55"/>
    <s v="Chris Lee"/>
    <s v="UNKNOWN"/>
    <x v="2"/>
    <n v="74815"/>
    <d v="2016-01-24T00:00:00"/>
    <n v="5"/>
    <s v="Female"/>
    <s v="user50@example.com"/>
    <n v="0"/>
    <s v="user50@example.com"/>
  </r>
  <r>
    <x v="56"/>
    <s v="John Doe"/>
    <s v="SALES"/>
    <x v="5"/>
    <n v="60011"/>
    <d v="2016-01-31T00:00:00"/>
    <n v="1"/>
    <s v="Male"/>
    <s v="user63@example.com"/>
    <n v="24"/>
    <s v="user63@example.com"/>
  </r>
  <r>
    <x v="57"/>
    <s v="Eve Adams"/>
    <s v="UNKNOWN"/>
    <x v="3"/>
    <n v="96949"/>
    <d v="2016-02-07T00:00:00"/>
    <n v="3"/>
    <s v="Unknown"/>
    <s v="user103@example.com"/>
    <n v="17"/>
    <s v="user103@example.com"/>
  </r>
  <r>
    <x v="58"/>
    <s v="Sam Wilson"/>
    <s v="MARKETING"/>
    <x v="0"/>
    <n v="84924"/>
    <d v="2016-02-14T00:00:00"/>
    <n v="5"/>
    <s v="Male"/>
    <s v="user150@example.com"/>
    <n v="10"/>
    <s v="user150@example.com"/>
  </r>
  <r>
    <x v="59"/>
    <s v="Sam Wilson"/>
    <s v="FINANCE"/>
    <x v="2"/>
    <n v="82033"/>
    <d v="2016-02-21T00:00:00"/>
    <n v="1"/>
    <s v="Unknown"/>
    <s v="user20@example.com"/>
    <n v="3"/>
    <s v="user20@example.com"/>
  </r>
  <r>
    <x v="60"/>
    <s v="Unknown"/>
    <s v="MARKETING"/>
    <x v="1"/>
    <n v="63687"/>
    <s v="Unknown"/>
    <n v="5"/>
    <s v="Unknown"/>
    <s v="user112@example.com"/>
    <n v="0"/>
    <s v="user112@example.com"/>
  </r>
  <r>
    <x v="61"/>
    <s v="Eve Adams"/>
    <s v="UNKNOWN"/>
    <x v="5"/>
    <n v="31499"/>
    <d v="2016-03-06T00:00:00"/>
    <n v="2"/>
    <s v="Unknown"/>
    <s v="user31@example.com"/>
    <n v="18"/>
    <s v="user31@example.com"/>
  </r>
  <r>
    <x v="62"/>
    <s v="Chris Lee"/>
    <s v="IT"/>
    <x v="4"/>
    <n v="97981"/>
    <d v="2016-03-13T00:00:00"/>
    <n v="5"/>
    <s v="Female"/>
    <s v="user71@example.com"/>
    <n v="11"/>
    <s v="user71@example.com"/>
  </r>
  <r>
    <x v="63"/>
    <s v="Eve Adams"/>
    <s v="HR"/>
    <x v="2"/>
    <n v="36541"/>
    <d v="2016-03-20T00:00:00"/>
    <n v="2"/>
    <s v="Other"/>
    <s v="user97@example.com"/>
    <n v="4"/>
    <s v="user97@example.com"/>
  </r>
  <r>
    <x v="64"/>
    <s v="John Doe"/>
    <s v="IT"/>
    <x v="3"/>
    <n v="84737"/>
    <d v="2016-03-27T00:00:00"/>
    <n v="1"/>
    <s v="Male"/>
    <s v="user141@example.com"/>
    <n v="28"/>
    <s v="user141@example.com"/>
  </r>
  <r>
    <x v="65"/>
    <s v="Sam Wilson"/>
    <s v="FINANCE"/>
    <x v="3"/>
    <n v="33468"/>
    <d v="2016-04-03T00:00:00"/>
    <n v="4"/>
    <s v="Male"/>
    <s v="user125@example.com"/>
    <n v="21"/>
    <s v="user125@example.com"/>
  </r>
  <r>
    <x v="66"/>
    <s v="Sam Wilson"/>
    <s v="UNKNOWN"/>
    <x v="5"/>
    <n v="96365"/>
    <d v="2016-04-10T00:00:00"/>
    <n v="3"/>
    <s v="Other"/>
    <s v="user90@example.com"/>
    <n v="14"/>
    <s v="user90@example.com"/>
  </r>
  <r>
    <x v="67"/>
    <s v="Alice Brown"/>
    <s v="SALES"/>
    <x v="3"/>
    <n v="61942"/>
    <d v="2016-04-17T00:00:00"/>
    <n v="3"/>
    <s v="Female"/>
    <s v="user192@example.com"/>
    <n v="7"/>
    <s v="user192@example.com"/>
  </r>
  <r>
    <x v="68"/>
    <s v="Sam Wilson"/>
    <s v="FINANCE"/>
    <x v="4"/>
    <n v="41467"/>
    <d v="2016-04-24T00:00:00"/>
    <n v="2"/>
    <s v="Unknown"/>
    <s v="user77@example.com"/>
    <n v="0"/>
    <s v="user77@example.com"/>
  </r>
  <r>
    <x v="69"/>
    <s v="Bob Johnson"/>
    <s v="FINANCE"/>
    <x v="3"/>
    <n v="77096"/>
    <d v="2016-05-01T00:00:00"/>
    <n v="1"/>
    <s v="Unknown"/>
    <s v="user65@example.com"/>
    <n v="23"/>
    <s v="user65@example.com"/>
  </r>
  <r>
    <x v="70"/>
    <s v="Eve Adams"/>
    <s v="SALES"/>
    <x v="5"/>
    <n v="69952"/>
    <d v="2016-05-08T00:00:00"/>
    <n v="5"/>
    <s v="Female"/>
    <s v="invalid_email"/>
    <n v="16"/>
    <s v="unknown"/>
  </r>
  <r>
    <x v="71"/>
    <s v="Eve Adams"/>
    <s v="MARKETING"/>
    <x v="2"/>
    <n v="85065"/>
    <d v="2016-05-15T00:00:00"/>
    <n v="3"/>
    <s v="Unknown"/>
    <s v="user142@example.com"/>
    <n v="9"/>
    <s v="user142@example.com"/>
  </r>
  <r>
    <x v="72"/>
    <s v="Bob Johnson"/>
    <s v="MARKETING"/>
    <x v="3"/>
    <n v="56512"/>
    <d v="2016-05-22T00:00:00"/>
    <n v="3"/>
    <s v="Other"/>
    <s v="user153@example.com"/>
    <n v="2"/>
    <s v="user153@example.com"/>
  </r>
  <r>
    <x v="73"/>
    <s v="John Doe"/>
    <s v="SALES"/>
    <x v="3"/>
    <n v="91101"/>
    <d v="2016-05-29T00:00:00"/>
    <n v="4"/>
    <s v="Female"/>
    <s v="user71@example.com"/>
    <n v="26"/>
    <s v="user71@example.com"/>
  </r>
  <r>
    <x v="74"/>
    <s v="Sam Wilson"/>
    <s v="UNKNOWN"/>
    <x v="1"/>
    <n v="41243"/>
    <d v="2016-06-05T00:00:00"/>
    <n v="3"/>
    <s v="Unknown"/>
    <s v="user143@example.com"/>
    <n v="19"/>
    <s v="user143@example.com"/>
  </r>
  <r>
    <x v="75"/>
    <s v="Unknown"/>
    <s v="SALES"/>
    <x v="0"/>
    <n v="96142"/>
    <d v="2016-06-12T00:00:00"/>
    <n v="1"/>
    <s v="Other"/>
    <s v="user17@example.com"/>
    <n v="12"/>
    <s v="user17@example.com"/>
  </r>
  <r>
    <x v="76"/>
    <s v="Eve Adams"/>
    <s v="IT"/>
    <x v="3"/>
    <n v="94301"/>
    <d v="2016-06-19T00:00:00"/>
    <n v="1"/>
    <s v="Male"/>
    <s v="user20@example.com"/>
    <n v="5"/>
    <s v="user20@example.com"/>
  </r>
  <r>
    <x v="77"/>
    <s v="Jane Smith"/>
    <s v="UNKNOWN"/>
    <x v="4"/>
    <n v="69166"/>
    <d v="2016-06-26T00:00:00"/>
    <n v="1"/>
    <s v="Female"/>
    <s v="user22@example.com"/>
    <n v="29"/>
    <s v="user22@example.com"/>
  </r>
  <r>
    <x v="78"/>
    <s v="Sam Wilson"/>
    <s v="UNKNOWN"/>
    <x v="4"/>
    <n v="78245"/>
    <d v="2016-07-03T00:00:00"/>
    <n v="2"/>
    <s v="Unknown"/>
    <s v="user46@example.com"/>
    <n v="21"/>
    <s v="user46@example.com"/>
  </r>
  <r>
    <x v="79"/>
    <s v="Chris Lee"/>
    <s v="SALES"/>
    <x v="2"/>
    <n v="66079"/>
    <d v="2016-07-10T00:00:00"/>
    <n v="2"/>
    <s v="Other"/>
    <s v="user55@example.com"/>
    <n v="14"/>
    <s v="user55@example.com"/>
  </r>
  <r>
    <x v="80"/>
    <s v="Eve Adams"/>
    <s v="MARKETING"/>
    <x v="3"/>
    <n v="63687"/>
    <s v="Unknown"/>
    <n v="3"/>
    <s v="Unknown"/>
    <s v="user135@example.com"/>
    <n v="0"/>
    <s v="user135@example.com"/>
  </r>
  <r>
    <x v="81"/>
    <s v="Jane Smith"/>
    <s v="SALES"/>
    <x v="2"/>
    <n v="95621"/>
    <d v="2016-07-24T00:00:00"/>
    <n v="3"/>
    <s v="Female"/>
    <s v="user156@example.com"/>
    <n v="0"/>
    <s v="user156@example.com"/>
  </r>
  <r>
    <x v="82"/>
    <s v="Eve Adams"/>
    <s v="IT"/>
    <x v="4"/>
    <n v="42262"/>
    <d v="2016-07-31T00:00:00"/>
    <n v="1"/>
    <s v="Unknown"/>
    <s v="user104@example.com"/>
    <n v="24"/>
    <s v="user104@example.com"/>
  </r>
  <r>
    <x v="83"/>
    <s v="Sam Wilson"/>
    <s v="SALES"/>
    <x v="3"/>
    <n v="99621"/>
    <d v="2016-08-07T00:00:00"/>
    <n v="3"/>
    <s v="Other"/>
    <s v="user145@example.com"/>
    <n v="17"/>
    <s v="user145@example.com"/>
  </r>
  <r>
    <x v="84"/>
    <s v="John Doe"/>
    <s v="MARKETING"/>
    <x v="3"/>
    <n v="44682"/>
    <d v="2016-08-14T00:00:00"/>
    <n v="4"/>
    <s v="Female"/>
    <s v="user47@example.com"/>
    <n v="10"/>
    <s v="user47@example.com"/>
  </r>
  <r>
    <x v="85"/>
    <s v="Chris Lee"/>
    <s v="FINANCE"/>
    <x v="0"/>
    <n v="35163"/>
    <d v="2016-08-21T00:00:00"/>
    <n v="5"/>
    <s v="Other"/>
    <s v="user197@example.com"/>
    <n v="3"/>
    <s v="user197@example.com"/>
  </r>
  <r>
    <x v="86"/>
    <s v="Chris Lee"/>
    <s v="IT"/>
    <x v="3"/>
    <n v="33483"/>
    <d v="2016-08-28T00:00:00"/>
    <n v="4"/>
    <s v="Male"/>
    <s v="user177@example.com"/>
    <n v="27"/>
    <s v="user177@example.com"/>
  </r>
  <r>
    <x v="87"/>
    <s v="Sam Wilson"/>
    <s v="HR"/>
    <x v="1"/>
    <n v="55303"/>
    <d v="2016-09-04T00:00:00"/>
    <n v="4"/>
    <s v="Male"/>
    <s v="user149@example.com"/>
    <n v="20"/>
    <s v="user149@example.com"/>
  </r>
  <r>
    <x v="88"/>
    <s v="Chris Lee"/>
    <s v="IT"/>
    <x v="0"/>
    <n v="63434"/>
    <d v="2016-09-11T00:00:00"/>
    <n v="3"/>
    <s v="Unknown"/>
    <s v="user48@example.com"/>
    <n v="13"/>
    <s v="user48@example.com"/>
  </r>
  <r>
    <x v="89"/>
    <s v="Jane Smith"/>
    <s v="UNKNOWN"/>
    <x v="5"/>
    <n v="38830"/>
    <d v="2016-09-18T00:00:00"/>
    <n v="3"/>
    <s v="Other"/>
    <s v="user149@example.com"/>
    <n v="6"/>
    <s v="user149@example.com"/>
  </r>
  <r>
    <x v="90"/>
    <s v="Unknown"/>
    <s v="MARKETING"/>
    <x v="4"/>
    <n v="50741"/>
    <d v="2016-09-25T00:00:00"/>
    <n v="3"/>
    <s v="Unknown"/>
    <s v="user65@example.com"/>
    <n v="30"/>
    <s v="user65@example.com"/>
  </r>
  <r>
    <x v="91"/>
    <s v="Alice Brown"/>
    <s v="HR"/>
    <x v="5"/>
    <n v="69420"/>
    <d v="2016-10-02T00:00:00"/>
    <n v="1"/>
    <s v="Male"/>
    <s v="user43@example.com"/>
    <n v="22"/>
    <s v="user43@example.com"/>
  </r>
  <r>
    <x v="92"/>
    <s v="Jane Smith"/>
    <s v="IT"/>
    <x v="0"/>
    <n v="80588"/>
    <d v="2016-10-09T00:00:00"/>
    <n v="5"/>
    <s v="Male"/>
    <s v="user98@example.com"/>
    <n v="15"/>
    <s v="user98@example.com"/>
  </r>
  <r>
    <x v="93"/>
    <s v="Alice Brown"/>
    <s v="UNKNOWN"/>
    <x v="2"/>
    <n v="76238"/>
    <d v="2016-10-16T00:00:00"/>
    <n v="4"/>
    <s v="Male"/>
    <s v="user102@example.com"/>
    <n v="8"/>
    <s v="user102@example.com"/>
  </r>
  <r>
    <x v="94"/>
    <s v="Bob Johnson"/>
    <s v="IT"/>
    <x v="3"/>
    <n v="33264"/>
    <d v="2016-10-23T00:00:00"/>
    <n v="3"/>
    <s v="Female"/>
    <s v="user148@example.com"/>
    <n v="1"/>
    <s v="user148@example.com"/>
  </r>
  <r>
    <x v="95"/>
    <s v="Alice Brown"/>
    <s v="FINANCE"/>
    <x v="5"/>
    <n v="96101"/>
    <d v="2016-10-30T00:00:00"/>
    <n v="3"/>
    <s v="Other"/>
    <s v="user155@example.com"/>
    <n v="25"/>
    <s v="user155@example.com"/>
  </r>
  <r>
    <x v="96"/>
    <s v="Jane Smith"/>
    <s v="FINANCE"/>
    <x v="2"/>
    <n v="72939"/>
    <d v="2016-11-06T00:00:00"/>
    <n v="3"/>
    <s v="Unknown"/>
    <s v="user191@example.com"/>
    <n v="18"/>
    <s v="user191@example.com"/>
  </r>
  <r>
    <x v="97"/>
    <s v="Sam Wilson"/>
    <s v="HR"/>
    <x v="1"/>
    <n v="89333"/>
    <d v="2016-11-13T00:00:00"/>
    <n v="1"/>
    <s v="Male"/>
    <s v="user113@example.com"/>
    <n v="11"/>
    <s v="user113@example.com"/>
  </r>
  <r>
    <x v="98"/>
    <s v="Bob Johnson"/>
    <s v="IT"/>
    <x v="5"/>
    <n v="70470"/>
    <d v="2016-11-20T00:00:00"/>
    <n v="3"/>
    <s v="Male"/>
    <s v="user62@example.com"/>
    <n v="4"/>
    <s v="user62@example.com"/>
  </r>
  <r>
    <x v="99"/>
    <s v="Eve Adams"/>
    <s v="MARKETING"/>
    <x v="2"/>
    <n v="70096"/>
    <d v="2016-11-27T00:00:00"/>
    <n v="4"/>
    <s v="Male"/>
    <s v="user76@example.com"/>
    <n v="28"/>
    <s v="user76@example.com"/>
  </r>
  <r>
    <x v="100"/>
    <s v="Bob Johnson"/>
    <s v="MARKETING"/>
    <x v="0"/>
    <n v="63687"/>
    <d v="2016-12-04T00:00:00"/>
    <n v="2"/>
    <s v="Other"/>
    <s v="user40@example.com"/>
    <n v="20"/>
    <s v="user40@example.com"/>
  </r>
  <r>
    <x v="101"/>
    <s v="Bob Johnson"/>
    <s v="IT"/>
    <x v="1"/>
    <n v="66503"/>
    <d v="2016-12-11T00:00:00"/>
    <n v="3"/>
    <s v="Male"/>
    <s v="user200@example.com"/>
    <n v="13"/>
    <s v="user200@example.com"/>
  </r>
  <r>
    <x v="102"/>
    <s v="Alice Brown"/>
    <s v="HR"/>
    <x v="1"/>
    <n v="42096"/>
    <d v="2016-12-18T00:00:00"/>
    <n v="3"/>
    <s v="Female"/>
    <s v="user54@example.com"/>
    <n v="6"/>
    <s v="user54@example.com"/>
  </r>
  <r>
    <x v="103"/>
    <s v="Alice Brown"/>
    <s v="MARKETING"/>
    <x v="0"/>
    <n v="79145"/>
    <d v="2016-12-25T00:00:00"/>
    <n v="5"/>
    <s v="Other"/>
    <s v="user20@example.com"/>
    <n v="30"/>
    <s v="user20@example.com"/>
  </r>
  <r>
    <x v="104"/>
    <s v="Jane Smith"/>
    <s v="UNKNOWN"/>
    <x v="5"/>
    <n v="61556"/>
    <d v="2017-01-01T00:00:00"/>
    <n v="1"/>
    <s v="Unknown"/>
    <s v="user40@example.com"/>
    <n v="23"/>
    <s v="user40@example.com"/>
  </r>
  <r>
    <x v="105"/>
    <s v="Unknown"/>
    <s v="HR"/>
    <x v="4"/>
    <n v="87963"/>
    <d v="2017-01-08T00:00:00"/>
    <n v="3"/>
    <s v="Other"/>
    <s v="invalid_email"/>
    <n v="16"/>
    <s v="unknown"/>
  </r>
  <r>
    <x v="106"/>
    <s v="Eve Adams"/>
    <s v="IT"/>
    <x v="0"/>
    <n v="48325"/>
    <d v="2017-01-15T00:00:00"/>
    <n v="3"/>
    <s v="Male"/>
    <s v="user189@example.com"/>
    <n v="9"/>
    <s v="user189@example.com"/>
  </r>
  <r>
    <x v="107"/>
    <s v="Sam Wilson"/>
    <s v="MARKETING"/>
    <x v="5"/>
    <n v="86412"/>
    <d v="2017-01-22T00:00:00"/>
    <n v="2"/>
    <s v="Female"/>
    <s v="user128@example.com"/>
    <n v="2"/>
    <s v="user128@example.com"/>
  </r>
  <r>
    <x v="108"/>
    <s v="Sam Wilson"/>
    <s v="HR"/>
    <x v="0"/>
    <n v="66761"/>
    <d v="2017-01-29T00:00:00"/>
    <n v="1"/>
    <s v="Unknown"/>
    <s v="user93@example.com"/>
    <n v="26"/>
    <s v="user93@example.com"/>
  </r>
  <r>
    <x v="109"/>
    <s v="Jane Smith"/>
    <s v="UNKNOWN"/>
    <x v="3"/>
    <n v="88850"/>
    <d v="2017-02-05T00:00:00"/>
    <n v="1"/>
    <s v="Female"/>
    <s v="user174@example.com"/>
    <n v="19"/>
    <s v="user174@example.com"/>
  </r>
  <r>
    <x v="110"/>
    <s v="Chris Lee"/>
    <s v="SALES"/>
    <x v="3"/>
    <n v="31293"/>
    <s v="Unknown"/>
    <n v="2"/>
    <s v="Female"/>
    <s v="user44@example.com"/>
    <n v="0"/>
    <s v="user44@example.com"/>
  </r>
  <r>
    <x v="111"/>
    <s v="Chris Lee"/>
    <s v="IT"/>
    <x v="2"/>
    <n v="34306"/>
    <d v="2017-02-19T00:00:00"/>
    <n v="5"/>
    <s v="Female"/>
    <s v="user192@example.com"/>
    <n v="5"/>
    <s v="user192@example.com"/>
  </r>
  <r>
    <x v="112"/>
    <s v="Eve Adams"/>
    <s v="FINANCE"/>
    <x v="3"/>
    <n v="78330"/>
    <d v="2017-02-26T00:00:00"/>
    <n v="3"/>
    <s v="Other"/>
    <s v="user76@example.com"/>
    <n v="29"/>
    <s v="user76@example.com"/>
  </r>
  <r>
    <x v="113"/>
    <s v="Alice Brown"/>
    <s v="IT"/>
    <x v="2"/>
    <n v="47653"/>
    <d v="2017-03-05T00:00:00"/>
    <n v="1"/>
    <s v="Male"/>
    <s v="user82@example.com"/>
    <n v="19"/>
    <s v="user82@example.com"/>
  </r>
  <r>
    <x v="114"/>
    <s v="Eve Adams"/>
    <s v="MARKETING"/>
    <x v="4"/>
    <n v="44627"/>
    <d v="2017-03-12T00:00:00"/>
    <n v="4"/>
    <s v="Unknown"/>
    <s v="user97@example.com"/>
    <n v="12"/>
    <s v="user97@example.com"/>
  </r>
  <r>
    <x v="115"/>
    <s v="Bob Johnson"/>
    <s v="HR"/>
    <x v="1"/>
    <n v="92343"/>
    <d v="2017-03-19T00:00:00"/>
    <n v="4"/>
    <s v="Female"/>
    <s v="user149@example.com"/>
    <n v="5"/>
    <s v="user149@example.com"/>
  </r>
  <r>
    <x v="116"/>
    <s v="Bob Johnson"/>
    <s v="MARKETING"/>
    <x v="5"/>
    <n v="38837"/>
    <d v="2017-03-26T00:00:00"/>
    <n v="5"/>
    <s v="Female"/>
    <s v="user192@example.com"/>
    <n v="29"/>
    <s v="user192@example.com"/>
  </r>
  <r>
    <x v="117"/>
    <s v="Bob Johnson"/>
    <s v="MARKETING"/>
    <x v="0"/>
    <n v="73483"/>
    <d v="2017-04-02T00:00:00"/>
    <n v="1"/>
    <s v="Unknown"/>
    <s v="user137@example.com"/>
    <n v="22"/>
    <s v="user137@example.com"/>
  </r>
  <r>
    <x v="118"/>
    <s v="Chris Lee"/>
    <s v="SALES"/>
    <x v="3"/>
    <n v="95032"/>
    <d v="2017-04-09T00:00:00"/>
    <n v="3"/>
    <s v="Unknown"/>
    <s v="user23@example.com"/>
    <n v="15"/>
    <s v="user23@example.com"/>
  </r>
  <r>
    <x v="119"/>
    <s v="Eve Adams"/>
    <s v="SALES"/>
    <x v="5"/>
    <n v="44358"/>
    <d v="2017-04-16T00:00:00"/>
    <n v="3"/>
    <s v="Female"/>
    <s v="user200@example.com"/>
    <n v="8"/>
    <s v="user200@example.com"/>
  </r>
  <r>
    <x v="120"/>
    <s v="Unknown"/>
    <s v="IT"/>
    <x v="2"/>
    <n v="66158"/>
    <s v="Unknown"/>
    <n v="5"/>
    <s v="Unknown"/>
    <s v="user101@example.com"/>
    <n v="0"/>
    <s v="user101@example.com"/>
  </r>
  <r>
    <x v="121"/>
    <s v="Chris Lee"/>
    <s v="SALES"/>
    <x v="2"/>
    <n v="45676"/>
    <d v="2017-04-30T00:00:00"/>
    <n v="2"/>
    <s v="Unknown"/>
    <s v="user132@example.com"/>
    <n v="25"/>
    <s v="user132@example.com"/>
  </r>
  <r>
    <x v="122"/>
    <s v="Bob Johnson"/>
    <s v="SALES"/>
    <x v="1"/>
    <n v="52036"/>
    <d v="2017-05-07T00:00:00"/>
    <n v="3"/>
    <s v="Male"/>
    <s v="user171@example.com"/>
    <n v="17"/>
    <s v="user171@example.com"/>
  </r>
  <r>
    <x v="123"/>
    <s v="Jane Smith"/>
    <s v="UNKNOWN"/>
    <x v="1"/>
    <n v="30357"/>
    <d v="2017-05-14T00:00:00"/>
    <n v="5"/>
    <s v="Male"/>
    <s v="user145@example.com"/>
    <n v="10"/>
    <s v="user145@example.com"/>
  </r>
  <r>
    <x v="124"/>
    <s v="John Doe"/>
    <s v="IT"/>
    <x v="0"/>
    <n v="60034"/>
    <d v="2017-05-21T00:00:00"/>
    <n v="1"/>
    <s v="Female"/>
    <s v="user75@example.com"/>
    <n v="3"/>
    <s v="user75@example.com"/>
  </r>
  <r>
    <x v="125"/>
    <s v="John Doe"/>
    <s v="FINANCE"/>
    <x v="0"/>
    <n v="90019"/>
    <d v="2017-05-28T00:00:00"/>
    <n v="5"/>
    <s v="Unknown"/>
    <s v="user52@example.com"/>
    <n v="27"/>
    <s v="user52@example.com"/>
  </r>
  <r>
    <x v="126"/>
    <s v="Bob Johnson"/>
    <s v="UNKNOWN"/>
    <x v="1"/>
    <n v="71494"/>
    <d v="2017-06-04T00:00:00"/>
    <n v="3"/>
    <s v="Male"/>
    <s v="user100@example.com"/>
    <n v="20"/>
    <s v="user100@example.com"/>
  </r>
  <r>
    <x v="127"/>
    <s v="John Doe"/>
    <s v="FINANCE"/>
    <x v="2"/>
    <n v="91953"/>
    <d v="2017-06-11T00:00:00"/>
    <n v="2"/>
    <s v="Male"/>
    <s v="user83@example.com"/>
    <n v="13"/>
    <s v="user83@example.com"/>
  </r>
  <r>
    <x v="128"/>
    <s v="Chris Lee"/>
    <s v="SALES"/>
    <x v="2"/>
    <n v="30402"/>
    <d v="2017-06-18T00:00:00"/>
    <n v="1"/>
    <s v="Unknown"/>
    <s v="user167@example.com"/>
    <n v="6"/>
    <s v="user167@example.com"/>
  </r>
  <r>
    <x v="129"/>
    <s v="Bob Johnson"/>
    <s v="UNKNOWN"/>
    <x v="4"/>
    <n v="62994"/>
    <d v="2017-06-25T00:00:00"/>
    <n v="3"/>
    <s v="Unknown"/>
    <s v="user175@example.com"/>
    <n v="30"/>
    <s v="user175@example.com"/>
  </r>
  <r>
    <x v="130"/>
    <s v="Alice Brown"/>
    <s v="SALES"/>
    <x v="3"/>
    <n v="48289"/>
    <s v="Unknown"/>
    <n v="3"/>
    <s v="Male"/>
    <s v="user25@example.com"/>
    <n v="0"/>
    <s v="user25@example.com"/>
  </r>
  <r>
    <x v="131"/>
    <s v="Sam Wilson"/>
    <s v="MARKETING"/>
    <x v="1"/>
    <n v="34402"/>
    <d v="2017-07-09T00:00:00"/>
    <n v="3"/>
    <s v="Other"/>
    <s v="user42@example.com"/>
    <n v="15"/>
    <s v="user42@example.com"/>
  </r>
  <r>
    <x v="132"/>
    <s v="Eve Adams"/>
    <s v="HR"/>
    <x v="2"/>
    <n v="38678"/>
    <d v="2017-07-16T00:00:00"/>
    <n v="3"/>
    <s v="Other"/>
    <s v="user188@example.com"/>
    <n v="8"/>
    <s v="user188@example.com"/>
  </r>
  <r>
    <x v="133"/>
    <s v="Chris Lee"/>
    <s v="HR"/>
    <x v="1"/>
    <n v="45758"/>
    <d v="2017-07-23T00:00:00"/>
    <n v="3"/>
    <s v="Unknown"/>
    <s v="user44@example.com"/>
    <n v="1"/>
    <s v="user44@example.com"/>
  </r>
  <r>
    <x v="134"/>
    <s v="Eve Adams"/>
    <s v="MARKETING"/>
    <x v="3"/>
    <n v="62476"/>
    <d v="2017-07-30T00:00:00"/>
    <n v="1"/>
    <s v="Other"/>
    <s v="user63@example.com"/>
    <n v="25"/>
    <s v="user63@example.com"/>
  </r>
  <r>
    <x v="135"/>
    <s v="Unknown"/>
    <s v="IT"/>
    <x v="4"/>
    <n v="39280"/>
    <d v="2017-08-06T00:00:00"/>
    <n v="3"/>
    <s v="Female"/>
    <s v="user198@example.com"/>
    <n v="18"/>
    <s v="user198@example.com"/>
  </r>
  <r>
    <x v="136"/>
    <s v="Jane Smith"/>
    <s v="FINANCE"/>
    <x v="3"/>
    <n v="60335"/>
    <d v="2017-08-13T00:00:00"/>
    <n v="4"/>
    <s v="Other"/>
    <s v="user59@example.com"/>
    <n v="11"/>
    <s v="user59@example.com"/>
  </r>
  <r>
    <x v="137"/>
    <s v="Chris Lee"/>
    <s v="HR"/>
    <x v="1"/>
    <n v="84968"/>
    <d v="2017-08-20T00:00:00"/>
    <n v="3"/>
    <s v="Unknown"/>
    <s v="user165@example.com"/>
    <n v="4"/>
    <s v="user165@example.com"/>
  </r>
  <r>
    <x v="138"/>
    <s v="Chris Lee"/>
    <s v="MARKETING"/>
    <x v="5"/>
    <n v="84750"/>
    <d v="2017-08-27T00:00:00"/>
    <n v="4"/>
    <s v="Female"/>
    <s v="user3@example.com"/>
    <n v="28"/>
    <s v="user3@example.com"/>
  </r>
  <r>
    <x v="139"/>
    <s v="Bob Johnson"/>
    <s v="IT"/>
    <x v="0"/>
    <n v="73348"/>
    <d v="2017-09-03T00:00:00"/>
    <n v="2"/>
    <s v="Unknown"/>
    <s v="user22@example.com"/>
    <n v="21"/>
    <s v="user22@example.com"/>
  </r>
  <r>
    <x v="140"/>
    <s v="Chris Lee"/>
    <s v="SALES"/>
    <x v="2"/>
    <n v="67929"/>
    <d v="2017-09-10T00:00:00"/>
    <n v="4"/>
    <s v="Other"/>
    <s v="invalid_email"/>
    <n v="14"/>
    <s v="unknown"/>
  </r>
  <r>
    <x v="141"/>
    <s v="Jane Smith"/>
    <s v="MARKETING"/>
    <x v="2"/>
    <n v="66882"/>
    <d v="2017-09-17T00:00:00"/>
    <n v="5"/>
    <s v="Other"/>
    <s v="user103@example.com"/>
    <n v="7"/>
    <s v="user103@example.com"/>
  </r>
  <r>
    <x v="142"/>
    <s v="Alice Brown"/>
    <s v="MARKETING"/>
    <x v="0"/>
    <n v="86775"/>
    <d v="2017-09-24T00:00:00"/>
    <n v="3"/>
    <s v="Other"/>
    <s v="user190@example.com"/>
    <n v="0"/>
    <s v="user190@example.com"/>
  </r>
  <r>
    <x v="143"/>
    <s v="Chris Lee"/>
    <s v="SALES"/>
    <x v="4"/>
    <n v="91620"/>
    <d v="2017-10-01T00:00:00"/>
    <n v="3"/>
    <s v="Unknown"/>
    <s v="user114@example.com"/>
    <n v="23"/>
    <s v="user114@example.com"/>
  </r>
  <r>
    <x v="144"/>
    <s v="Eve Adams"/>
    <s v="UNKNOWN"/>
    <x v="0"/>
    <n v="94148"/>
    <d v="2017-10-08T00:00:00"/>
    <n v="2"/>
    <s v="Unknown"/>
    <s v="user53@example.com"/>
    <n v="16"/>
    <s v="user53@example.com"/>
  </r>
  <r>
    <x v="145"/>
    <s v="Sam Wilson"/>
    <s v="SALES"/>
    <x v="5"/>
    <n v="35627"/>
    <d v="2017-10-15T00:00:00"/>
    <n v="5"/>
    <s v="Female"/>
    <s v="user188@example.com"/>
    <n v="9"/>
    <s v="user188@example.com"/>
  </r>
  <r>
    <x v="146"/>
    <s v="John Doe"/>
    <s v="MARKETING"/>
    <x v="2"/>
    <n v="57141"/>
    <d v="2017-10-22T00:00:00"/>
    <n v="2"/>
    <s v="Unknown"/>
    <s v="user165@example.com"/>
    <n v="2"/>
    <s v="user165@example.com"/>
  </r>
  <r>
    <x v="147"/>
    <s v="Bob Johnson"/>
    <s v="SALES"/>
    <x v="5"/>
    <n v="65270"/>
    <d v="2017-10-29T00:00:00"/>
    <n v="1"/>
    <s v="Unknown"/>
    <s v="user163@example.com"/>
    <n v="26"/>
    <s v="user163@example.com"/>
  </r>
  <r>
    <x v="148"/>
    <s v="Bob Johnson"/>
    <s v="UNKNOWN"/>
    <x v="4"/>
    <n v="67335"/>
    <d v="2017-11-05T00:00:00"/>
    <n v="1"/>
    <s v="Other"/>
    <s v="user112@example.com"/>
    <n v="19"/>
    <s v="user112@example.com"/>
  </r>
  <r>
    <x v="149"/>
    <s v="Sam Wilson"/>
    <s v="MARKETING"/>
    <x v="3"/>
    <n v="98475"/>
    <d v="2017-11-12T00:00:00"/>
    <n v="5"/>
    <s v="Other"/>
    <s v="user30@example.com"/>
    <n v="12"/>
    <s v="user30@example.co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s v="FINANCE"/>
    <s v="unknown"/>
    <n v="65605"/>
    <s v="Unknown"/>
    <n v="2"/>
    <s v="Unknown"/>
    <s v="invalid_email"/>
    <n v="0"/>
    <s v="unknown"/>
  </r>
  <r>
    <x v="1"/>
    <x v="1"/>
    <s v="HR"/>
    <s v="germany"/>
    <n v="54255"/>
    <d v="2015-01-11T00:00:00"/>
    <n v="1"/>
    <s v="Other"/>
    <s v="user106@example.com"/>
    <n v="13"/>
    <s v="user106@example.com"/>
  </r>
  <r>
    <x v="2"/>
    <x v="2"/>
    <s v="FINANCE"/>
    <s v="germany"/>
    <n v="63184"/>
    <d v="2015-01-18T00:00:00"/>
    <n v="2"/>
    <s v="Unknown"/>
    <s v="user176@example.com"/>
    <n v="6"/>
    <s v="user176@example.com"/>
  </r>
  <r>
    <x v="3"/>
    <x v="3"/>
    <s v="SALES"/>
    <s v="usa"/>
    <n v="94406"/>
    <d v="2015-01-25T00:00:00"/>
    <n v="1"/>
    <s v="Male"/>
    <s v="user168@example.com"/>
    <n v="30"/>
    <s v="user168@example.com"/>
  </r>
  <r>
    <x v="4"/>
    <x v="4"/>
    <s v="SALES"/>
    <s v="germany"/>
    <n v="64120"/>
    <d v="2015-02-01T00:00:00"/>
    <n v="1"/>
    <s v="Male"/>
    <s v="user49@example.com"/>
    <n v="23"/>
    <s v="user49@example.com"/>
  </r>
  <r>
    <x v="5"/>
    <x v="2"/>
    <s v="IT"/>
    <s v="india"/>
    <n v="78421"/>
    <d v="2015-02-08T00:00:00"/>
    <n v="2"/>
    <s v="Female"/>
    <s v="user24@example.com"/>
    <n v="16"/>
    <s v="user24@example.com"/>
  </r>
  <r>
    <x v="6"/>
    <x v="5"/>
    <s v="SALES"/>
    <s v="unknown"/>
    <n v="67721"/>
    <d v="2015-02-15T00:00:00"/>
    <n v="3"/>
    <s v="Male"/>
    <s v="user168@example.com"/>
    <n v="9"/>
    <s v="user168@example.com"/>
  </r>
  <r>
    <x v="7"/>
    <x v="6"/>
    <s v="MARKETING"/>
    <s v="unknown"/>
    <n v="35364"/>
    <d v="2015-02-22T00:00:00"/>
    <n v="2"/>
    <s v="Other"/>
    <s v="user26@example.com"/>
    <n v="2"/>
    <s v="user26@example.com"/>
  </r>
  <r>
    <x v="8"/>
    <x v="2"/>
    <s v="IT"/>
    <s v="germany"/>
    <n v="97881"/>
    <d v="2015-03-01T00:00:00"/>
    <n v="3"/>
    <s v="Female"/>
    <s v="user25@example.com"/>
    <n v="23"/>
    <s v="user25@example.com"/>
  </r>
  <r>
    <x v="9"/>
    <x v="6"/>
    <s v="HR"/>
    <s v="uk"/>
    <n v="91846"/>
    <d v="2015-03-08T00:00:00"/>
    <n v="3"/>
    <s v="Male"/>
    <s v="user153@example.com"/>
    <n v="16"/>
    <s v="user153@example.com"/>
  </r>
  <r>
    <x v="10"/>
    <x v="5"/>
    <s v="FINANCE"/>
    <s v="uk"/>
    <n v="64247"/>
    <d v="2015-03-15T00:00:00"/>
    <n v="1"/>
    <s v="Female"/>
    <s v="user18@example.com"/>
    <n v="9"/>
    <s v="user18@example.com"/>
  </r>
  <r>
    <x v="11"/>
    <x v="5"/>
    <s v="IT"/>
    <s v="usa"/>
    <n v="91180"/>
    <d v="2015-03-22T00:00:00"/>
    <n v="5"/>
    <s v="Male"/>
    <s v="user1@example.com"/>
    <n v="2"/>
    <s v="user1@example.com"/>
  </r>
  <r>
    <x v="12"/>
    <x v="7"/>
    <s v="SALES"/>
    <s v="unknown"/>
    <n v="96418"/>
    <d v="2015-03-29T00:00:00"/>
    <n v="5"/>
    <s v="Male"/>
    <s v="user106@example.com"/>
    <n v="26"/>
    <s v="user106@example.com"/>
  </r>
  <r>
    <x v="13"/>
    <x v="5"/>
    <s v="UNKNOWN"/>
    <s v="india"/>
    <n v="62158"/>
    <d v="2015-04-05T00:00:00"/>
    <n v="4"/>
    <s v="Unknown"/>
    <s v="user180@example.com"/>
    <n v="19"/>
    <s v="user180@example.com"/>
  </r>
  <r>
    <x v="14"/>
    <x v="4"/>
    <s v="HR"/>
    <s v="unknown"/>
    <n v="59894"/>
    <d v="2015-04-12T00:00:00"/>
    <n v="2"/>
    <s v="Male"/>
    <s v="user184@example.com"/>
    <n v="12"/>
    <s v="user184@example.com"/>
  </r>
  <r>
    <x v="15"/>
    <x v="0"/>
    <s v="IT"/>
    <s v="india"/>
    <n v="92443"/>
    <d v="2015-04-19T00:00:00"/>
    <n v="3"/>
    <s v="Other"/>
    <s v="user3@example.com"/>
    <n v="5"/>
    <s v="user3@example.com"/>
  </r>
  <r>
    <x v="16"/>
    <x v="7"/>
    <s v="UNKNOWN"/>
    <s v="germany"/>
    <n v="90271"/>
    <d v="2015-04-26T00:00:00"/>
    <n v="3"/>
    <s v="Unknown"/>
    <s v="user64@example.com"/>
    <n v="29"/>
    <s v="user64@example.com"/>
  </r>
  <r>
    <x v="17"/>
    <x v="4"/>
    <s v="FINANCE"/>
    <s v="australia"/>
    <n v="41341"/>
    <d v="2015-05-03T00:00:00"/>
    <n v="1"/>
    <s v="Other"/>
    <s v="user38@example.com"/>
    <n v="21"/>
    <s v="user38@example.com"/>
  </r>
  <r>
    <x v="18"/>
    <x v="2"/>
    <s v="FINANCE"/>
    <s v="uk"/>
    <n v="73602"/>
    <d v="2015-05-10T00:00:00"/>
    <n v="3"/>
    <s v="Unknown"/>
    <s v="user96@example.com"/>
    <n v="14"/>
    <s v="user96@example.com"/>
  </r>
  <r>
    <x v="19"/>
    <x v="1"/>
    <s v="UNKNOWN"/>
    <s v="india"/>
    <n v="67531"/>
    <d v="2015-05-17T00:00:00"/>
    <n v="5"/>
    <s v="Female"/>
    <s v="user151@example.com"/>
    <n v="7"/>
    <s v="user151@example.com"/>
  </r>
  <r>
    <x v="20"/>
    <x v="4"/>
    <s v="HR"/>
    <s v="usa"/>
    <n v="67835"/>
    <d v="2015-05-24T00:00:00"/>
    <n v="2"/>
    <s v="Other"/>
    <s v="user200@example.com"/>
    <n v="0"/>
    <s v="user200@example.com"/>
  </r>
  <r>
    <x v="21"/>
    <x v="4"/>
    <s v="HR"/>
    <s v="unknown"/>
    <n v="98922"/>
    <d v="2015-05-31T00:00:00"/>
    <n v="4"/>
    <s v="Unknown"/>
    <s v="user77@example.com"/>
    <n v="24"/>
    <s v="user77@example.com"/>
  </r>
  <r>
    <x v="22"/>
    <x v="1"/>
    <s v="FINANCE"/>
    <s v="india"/>
    <n v="38333"/>
    <d v="2015-06-07T00:00:00"/>
    <n v="5"/>
    <s v="Unknown"/>
    <s v="user128@example.com"/>
    <n v="17"/>
    <s v="user128@example.com"/>
  </r>
  <r>
    <x v="23"/>
    <x v="2"/>
    <s v="MARKETING"/>
    <s v="uk"/>
    <n v="36515"/>
    <d v="2015-06-14T00:00:00"/>
    <n v="3"/>
    <s v="Male"/>
    <s v="user149@example.com"/>
    <n v="10"/>
    <s v="user149@example.com"/>
  </r>
  <r>
    <x v="24"/>
    <x v="5"/>
    <s v="FINANCE"/>
    <s v="unknown"/>
    <n v="91005"/>
    <d v="2015-06-21T00:00:00"/>
    <n v="1"/>
    <s v="Other"/>
    <s v="user122@example.com"/>
    <n v="3"/>
    <s v="user122@example.com"/>
  </r>
  <r>
    <x v="25"/>
    <x v="6"/>
    <s v="UNKNOWN"/>
    <s v="unknown"/>
    <n v="52272"/>
    <d v="2015-06-28T00:00:00"/>
    <n v="3"/>
    <s v="Unknown"/>
    <s v="user41@example.com"/>
    <n v="27"/>
    <s v="user41@example.com"/>
  </r>
  <r>
    <x v="26"/>
    <x v="1"/>
    <s v="SALES"/>
    <s v="germany"/>
    <n v="76518"/>
    <d v="2015-07-05T00:00:00"/>
    <n v="2"/>
    <s v="Female"/>
    <s v="user68@example.com"/>
    <n v="19"/>
    <s v="user68@example.com"/>
  </r>
  <r>
    <x v="27"/>
    <x v="2"/>
    <s v="IT"/>
    <s v="uk"/>
    <n v="41448"/>
    <d v="2015-07-12T00:00:00"/>
    <n v="3"/>
    <s v="Other"/>
    <s v="user103@example.com"/>
    <n v="12"/>
    <s v="user103@example.com"/>
  </r>
  <r>
    <x v="28"/>
    <x v="3"/>
    <s v="HR"/>
    <s v="uk"/>
    <n v="49282"/>
    <d v="2015-07-19T00:00:00"/>
    <n v="2"/>
    <s v="Female"/>
    <s v="user135@example.com"/>
    <n v="5"/>
    <s v="user135@example.com"/>
  </r>
  <r>
    <x v="29"/>
    <x v="7"/>
    <s v="MARKETING"/>
    <s v="uk"/>
    <n v="92959"/>
    <d v="2015-07-26T00:00:00"/>
    <n v="5"/>
    <s v="Unknown"/>
    <s v="user83@example.com"/>
    <n v="29"/>
    <s v="user83@example.com"/>
  </r>
  <r>
    <x v="30"/>
    <x v="0"/>
    <s v="MARKETING"/>
    <s v="unknown"/>
    <n v="92259"/>
    <s v="Unknown"/>
    <n v="1"/>
    <s v="Unknown"/>
    <s v="user109@example.com"/>
    <n v="0"/>
    <s v="user109@example.com"/>
  </r>
  <r>
    <x v="31"/>
    <x v="1"/>
    <s v="HR"/>
    <s v="germany"/>
    <n v="92299"/>
    <d v="2015-08-09T00:00:00"/>
    <n v="3"/>
    <s v="Male"/>
    <s v="user143@example.com"/>
    <n v="15"/>
    <s v="user143@example.com"/>
  </r>
  <r>
    <x v="32"/>
    <x v="5"/>
    <s v="HR"/>
    <s v="unknown"/>
    <n v="95586"/>
    <d v="2015-08-16T00:00:00"/>
    <n v="3"/>
    <s v="Other"/>
    <s v="user190@example.com"/>
    <n v="8"/>
    <s v="user190@example.com"/>
  </r>
  <r>
    <x v="33"/>
    <x v="6"/>
    <s v="UNKNOWN"/>
    <s v="usa"/>
    <n v="95367"/>
    <d v="2015-08-23T00:00:00"/>
    <n v="3"/>
    <s v="Male"/>
    <s v="user136@example.com"/>
    <n v="1"/>
    <s v="user136@example.com"/>
  </r>
  <r>
    <x v="34"/>
    <x v="3"/>
    <s v="SALES"/>
    <s v="australia"/>
    <n v="79549"/>
    <d v="2015-08-30T00:00:00"/>
    <n v="3"/>
    <s v="Unknown"/>
    <s v="user198@example.com"/>
    <n v="25"/>
    <s v="user198@example.com"/>
  </r>
  <r>
    <x v="35"/>
    <x v="2"/>
    <s v="UNKNOWN"/>
    <s v="uk"/>
    <n v="54463"/>
    <d v="2015-09-06T00:00:00"/>
    <n v="4"/>
    <s v="Male"/>
    <s v="invalid_email"/>
    <n v="18"/>
    <s v="unknown"/>
  </r>
  <r>
    <x v="36"/>
    <x v="2"/>
    <s v="IT"/>
    <s v="usa"/>
    <n v="89781"/>
    <d v="2015-09-13T00:00:00"/>
    <n v="3"/>
    <s v="Female"/>
    <s v="user31@example.com"/>
    <n v="11"/>
    <s v="user31@example.com"/>
  </r>
  <r>
    <x v="37"/>
    <x v="2"/>
    <s v="HR"/>
    <s v="unknown"/>
    <n v="64796"/>
    <d v="2015-09-20T00:00:00"/>
    <n v="3"/>
    <s v="Other"/>
    <s v="user98@example.com"/>
    <n v="4"/>
    <s v="user98@example.com"/>
  </r>
  <r>
    <x v="38"/>
    <x v="3"/>
    <s v="MARKETING"/>
    <s v="uk"/>
    <n v="52093"/>
    <d v="2015-09-27T00:00:00"/>
    <n v="5"/>
    <s v="Unknown"/>
    <s v="user154@example.com"/>
    <n v="28"/>
    <s v="user154@example.com"/>
  </r>
  <r>
    <x v="39"/>
    <x v="6"/>
    <s v="HR"/>
    <s v="uk"/>
    <n v="48224"/>
    <d v="2015-10-04T00:00:00"/>
    <n v="3"/>
    <s v="Unknown"/>
    <s v="user42@example.com"/>
    <n v="20"/>
    <s v="user42@example.com"/>
  </r>
  <r>
    <x v="40"/>
    <x v="7"/>
    <s v="FINANCE"/>
    <s v="uk"/>
    <n v="65605"/>
    <s v="Unknown"/>
    <n v="4"/>
    <s v="Female"/>
    <s v="user89@example.com"/>
    <n v="0"/>
    <s v="user89@example.com"/>
  </r>
  <r>
    <x v="41"/>
    <x v="2"/>
    <s v="IT"/>
    <s v="germany"/>
    <n v="33956"/>
    <d v="2015-10-18T00:00:00"/>
    <n v="3"/>
    <s v="Unknown"/>
    <s v="user47@example.com"/>
    <n v="6"/>
    <s v="user47@example.com"/>
  </r>
  <r>
    <x v="42"/>
    <x v="7"/>
    <s v="UNKNOWN"/>
    <s v="australia"/>
    <n v="64913"/>
    <d v="2015-10-25T00:00:00"/>
    <n v="1"/>
    <s v="Female"/>
    <s v="user175@example.com"/>
    <n v="30"/>
    <s v="user175@example.com"/>
  </r>
  <r>
    <x v="43"/>
    <x v="2"/>
    <s v="MARKETING"/>
    <s v="australia"/>
    <n v="35326"/>
    <d v="2015-11-01T00:00:00"/>
    <n v="3"/>
    <s v="Female"/>
    <s v="user57@example.com"/>
    <n v="23"/>
    <s v="user57@example.com"/>
  </r>
  <r>
    <x v="44"/>
    <x v="6"/>
    <s v="FINANCE"/>
    <s v="unknown"/>
    <n v="81610"/>
    <d v="2015-11-08T00:00:00"/>
    <n v="1"/>
    <s v="Unknown"/>
    <s v="user20@example.com"/>
    <n v="16"/>
    <s v="user20@example.com"/>
  </r>
  <r>
    <x v="45"/>
    <x v="0"/>
    <s v="HR"/>
    <s v="unknown"/>
    <n v="58962"/>
    <d v="2015-11-15T00:00:00"/>
    <n v="3"/>
    <s v="Other"/>
    <s v="user106@example.com"/>
    <n v="9"/>
    <s v="user106@example.com"/>
  </r>
  <r>
    <x v="46"/>
    <x v="6"/>
    <s v="IT"/>
    <s v="germany"/>
    <n v="92701"/>
    <d v="2015-11-22T00:00:00"/>
    <n v="3"/>
    <s v="Other"/>
    <s v="user199@example.com"/>
    <n v="2"/>
    <s v="user199@example.com"/>
  </r>
  <r>
    <x v="47"/>
    <x v="6"/>
    <s v="HR"/>
    <s v="india"/>
    <n v="58245"/>
    <d v="2015-11-29T00:00:00"/>
    <n v="4"/>
    <s v="Unknown"/>
    <s v="user43@example.com"/>
    <n v="26"/>
    <s v="user43@example.com"/>
  </r>
  <r>
    <x v="48"/>
    <x v="3"/>
    <s v="FINANCE"/>
    <s v="unknown"/>
    <n v="66513"/>
    <d v="2015-12-06T00:00:00"/>
    <n v="2"/>
    <s v="Other"/>
    <s v="user24@example.com"/>
    <n v="18"/>
    <s v="user24@example.com"/>
  </r>
  <r>
    <x v="49"/>
    <x v="1"/>
    <s v="HR"/>
    <s v="germany"/>
    <n v="78720"/>
    <d v="2015-12-13T00:00:00"/>
    <n v="5"/>
    <s v="Female"/>
    <s v="user89@example.com"/>
    <n v="11"/>
    <s v="user89@example.com"/>
  </r>
  <r>
    <x v="50"/>
    <x v="6"/>
    <s v="UNKNOWN"/>
    <s v="unknown"/>
    <n v="30686"/>
    <s v="Unknown"/>
    <n v="2"/>
    <s v="Female"/>
    <s v="user95@example.com"/>
    <n v="0"/>
    <s v="user95@example.com"/>
  </r>
  <r>
    <x v="51"/>
    <x v="5"/>
    <s v="SALES"/>
    <s v="india"/>
    <n v="39423"/>
    <d v="2015-12-27T00:00:00"/>
    <n v="5"/>
    <s v="Unknown"/>
    <s v="user59@example.com"/>
    <n v="28"/>
    <s v="user59@example.com"/>
  </r>
  <r>
    <x v="52"/>
    <x v="1"/>
    <s v="MARKETING"/>
    <s v="unknown"/>
    <n v="30280"/>
    <d v="2016-01-03T00:00:00"/>
    <n v="1"/>
    <s v="Unknown"/>
    <s v="user152@example.com"/>
    <n v="21"/>
    <s v="user152@example.com"/>
  </r>
  <r>
    <x v="53"/>
    <x v="1"/>
    <s v="FINANCE"/>
    <s v="uk"/>
    <n v="33352"/>
    <d v="2016-01-10T00:00:00"/>
    <n v="3"/>
    <s v="Female"/>
    <s v="user200@example.com"/>
    <n v="14"/>
    <s v="user200@example.com"/>
  </r>
  <r>
    <x v="54"/>
    <x v="7"/>
    <s v="MARKETING"/>
    <s v="uk"/>
    <n v="75633"/>
    <d v="2016-01-17T00:00:00"/>
    <n v="5"/>
    <s v="Other"/>
    <s v="user92@example.com"/>
    <n v="7"/>
    <s v="user92@example.com"/>
  </r>
  <r>
    <x v="55"/>
    <x v="6"/>
    <s v="UNKNOWN"/>
    <s v="usa"/>
    <n v="74815"/>
    <d v="2016-01-24T00:00:00"/>
    <n v="5"/>
    <s v="Female"/>
    <s v="user50@example.com"/>
    <n v="0"/>
    <s v="user50@example.com"/>
  </r>
  <r>
    <x v="56"/>
    <x v="3"/>
    <s v="SALES"/>
    <s v="australia"/>
    <n v="60011"/>
    <d v="2016-01-31T00:00:00"/>
    <n v="1"/>
    <s v="Male"/>
    <s v="user63@example.com"/>
    <n v="24"/>
    <s v="user63@example.com"/>
  </r>
  <r>
    <x v="57"/>
    <x v="1"/>
    <s v="UNKNOWN"/>
    <s v="india"/>
    <n v="96949"/>
    <d v="2016-02-07T00:00:00"/>
    <n v="3"/>
    <s v="Unknown"/>
    <s v="user103@example.com"/>
    <n v="17"/>
    <s v="user103@example.com"/>
  </r>
  <r>
    <x v="58"/>
    <x v="5"/>
    <s v="MARKETING"/>
    <s v="unknown"/>
    <n v="84924"/>
    <d v="2016-02-14T00:00:00"/>
    <n v="5"/>
    <s v="Male"/>
    <s v="user150@example.com"/>
    <n v="10"/>
    <s v="user150@example.com"/>
  </r>
  <r>
    <x v="59"/>
    <x v="5"/>
    <s v="FINANCE"/>
    <s v="usa"/>
    <n v="82033"/>
    <d v="2016-02-21T00:00:00"/>
    <n v="1"/>
    <s v="Unknown"/>
    <s v="user20@example.com"/>
    <n v="3"/>
    <s v="user20@example.com"/>
  </r>
  <r>
    <x v="60"/>
    <x v="0"/>
    <s v="MARKETING"/>
    <s v="germany"/>
    <n v="63687"/>
    <s v="Unknown"/>
    <n v="5"/>
    <s v="Unknown"/>
    <s v="user112@example.com"/>
    <n v="0"/>
    <s v="user112@example.com"/>
  </r>
  <r>
    <x v="61"/>
    <x v="1"/>
    <s v="UNKNOWN"/>
    <s v="australia"/>
    <n v="31499"/>
    <d v="2016-03-06T00:00:00"/>
    <n v="2"/>
    <s v="Unknown"/>
    <s v="user31@example.com"/>
    <n v="18"/>
    <s v="user31@example.com"/>
  </r>
  <r>
    <x v="62"/>
    <x v="6"/>
    <s v="IT"/>
    <s v="uk"/>
    <n v="97981"/>
    <d v="2016-03-13T00:00:00"/>
    <n v="5"/>
    <s v="Female"/>
    <s v="user71@example.com"/>
    <n v="11"/>
    <s v="user71@example.com"/>
  </r>
  <r>
    <x v="63"/>
    <x v="1"/>
    <s v="HR"/>
    <s v="usa"/>
    <n v="36541"/>
    <d v="2016-03-20T00:00:00"/>
    <n v="2"/>
    <s v="Other"/>
    <s v="user97@example.com"/>
    <n v="4"/>
    <s v="user97@example.com"/>
  </r>
  <r>
    <x v="64"/>
    <x v="3"/>
    <s v="IT"/>
    <s v="india"/>
    <n v="84737"/>
    <d v="2016-03-27T00:00:00"/>
    <n v="1"/>
    <s v="Male"/>
    <s v="user141@example.com"/>
    <n v="28"/>
    <s v="user141@example.com"/>
  </r>
  <r>
    <x v="65"/>
    <x v="5"/>
    <s v="FINANCE"/>
    <s v="india"/>
    <n v="33468"/>
    <d v="2016-04-03T00:00:00"/>
    <n v="4"/>
    <s v="Male"/>
    <s v="user125@example.com"/>
    <n v="21"/>
    <s v="user125@example.com"/>
  </r>
  <r>
    <x v="66"/>
    <x v="5"/>
    <s v="UNKNOWN"/>
    <s v="australia"/>
    <n v="96365"/>
    <d v="2016-04-10T00:00:00"/>
    <n v="3"/>
    <s v="Other"/>
    <s v="user90@example.com"/>
    <n v="14"/>
    <s v="user90@example.com"/>
  </r>
  <r>
    <x v="67"/>
    <x v="2"/>
    <s v="SALES"/>
    <s v="india"/>
    <n v="61942"/>
    <d v="2016-04-17T00:00:00"/>
    <n v="3"/>
    <s v="Female"/>
    <s v="user192@example.com"/>
    <n v="7"/>
    <s v="user192@example.com"/>
  </r>
  <r>
    <x v="68"/>
    <x v="5"/>
    <s v="FINANCE"/>
    <s v="uk"/>
    <n v="41467"/>
    <d v="2016-04-24T00:00:00"/>
    <n v="2"/>
    <s v="Unknown"/>
    <s v="user77@example.com"/>
    <n v="0"/>
    <s v="user77@example.com"/>
  </r>
  <r>
    <x v="69"/>
    <x v="7"/>
    <s v="FINANCE"/>
    <s v="india"/>
    <n v="77096"/>
    <d v="2016-05-01T00:00:00"/>
    <n v="1"/>
    <s v="Unknown"/>
    <s v="user65@example.com"/>
    <n v="23"/>
    <s v="user65@example.com"/>
  </r>
  <r>
    <x v="70"/>
    <x v="1"/>
    <s v="SALES"/>
    <s v="australia"/>
    <n v="69952"/>
    <d v="2016-05-08T00:00:00"/>
    <n v="5"/>
    <s v="Female"/>
    <s v="invalid_email"/>
    <n v="16"/>
    <s v="unknown"/>
  </r>
  <r>
    <x v="71"/>
    <x v="1"/>
    <s v="MARKETING"/>
    <s v="usa"/>
    <n v="85065"/>
    <d v="2016-05-15T00:00:00"/>
    <n v="3"/>
    <s v="Unknown"/>
    <s v="user142@example.com"/>
    <n v="9"/>
    <s v="user142@example.com"/>
  </r>
  <r>
    <x v="72"/>
    <x v="7"/>
    <s v="MARKETING"/>
    <s v="india"/>
    <n v="56512"/>
    <d v="2016-05-22T00:00:00"/>
    <n v="3"/>
    <s v="Other"/>
    <s v="user153@example.com"/>
    <n v="2"/>
    <s v="user153@example.com"/>
  </r>
  <r>
    <x v="73"/>
    <x v="3"/>
    <s v="SALES"/>
    <s v="india"/>
    <n v="91101"/>
    <d v="2016-05-29T00:00:00"/>
    <n v="4"/>
    <s v="Female"/>
    <s v="user71@example.com"/>
    <n v="26"/>
    <s v="user71@example.com"/>
  </r>
  <r>
    <x v="74"/>
    <x v="5"/>
    <s v="UNKNOWN"/>
    <s v="germany"/>
    <n v="41243"/>
    <d v="2016-06-05T00:00:00"/>
    <n v="3"/>
    <s v="Unknown"/>
    <s v="user143@example.com"/>
    <n v="19"/>
    <s v="user143@example.com"/>
  </r>
  <r>
    <x v="75"/>
    <x v="0"/>
    <s v="SALES"/>
    <s v="unknown"/>
    <n v="96142"/>
    <d v="2016-06-12T00:00:00"/>
    <n v="1"/>
    <s v="Other"/>
    <s v="user17@example.com"/>
    <n v="12"/>
    <s v="user17@example.com"/>
  </r>
  <r>
    <x v="76"/>
    <x v="1"/>
    <s v="IT"/>
    <s v="india"/>
    <n v="94301"/>
    <d v="2016-06-19T00:00:00"/>
    <n v="1"/>
    <s v="Male"/>
    <s v="user20@example.com"/>
    <n v="5"/>
    <s v="user20@example.com"/>
  </r>
  <r>
    <x v="77"/>
    <x v="4"/>
    <s v="UNKNOWN"/>
    <s v="uk"/>
    <n v="69166"/>
    <d v="2016-06-26T00:00:00"/>
    <n v="1"/>
    <s v="Female"/>
    <s v="user22@example.com"/>
    <n v="29"/>
    <s v="user22@example.com"/>
  </r>
  <r>
    <x v="78"/>
    <x v="5"/>
    <s v="UNKNOWN"/>
    <s v="uk"/>
    <n v="78245"/>
    <d v="2016-07-03T00:00:00"/>
    <n v="2"/>
    <s v="Unknown"/>
    <s v="user46@example.com"/>
    <n v="21"/>
    <s v="user46@example.com"/>
  </r>
  <r>
    <x v="79"/>
    <x v="6"/>
    <s v="SALES"/>
    <s v="usa"/>
    <n v="66079"/>
    <d v="2016-07-10T00:00:00"/>
    <n v="2"/>
    <s v="Other"/>
    <s v="user55@example.com"/>
    <n v="14"/>
    <s v="user55@example.com"/>
  </r>
  <r>
    <x v="80"/>
    <x v="1"/>
    <s v="MARKETING"/>
    <s v="india"/>
    <n v="63687"/>
    <s v="Unknown"/>
    <n v="3"/>
    <s v="Unknown"/>
    <s v="user135@example.com"/>
    <n v="0"/>
    <s v="user135@example.com"/>
  </r>
  <r>
    <x v="81"/>
    <x v="4"/>
    <s v="SALES"/>
    <s v="usa"/>
    <n v="95621"/>
    <d v="2016-07-24T00:00:00"/>
    <n v="3"/>
    <s v="Female"/>
    <s v="user156@example.com"/>
    <n v="0"/>
    <s v="user156@example.com"/>
  </r>
  <r>
    <x v="82"/>
    <x v="1"/>
    <s v="IT"/>
    <s v="uk"/>
    <n v="42262"/>
    <d v="2016-07-31T00:00:00"/>
    <n v="1"/>
    <s v="Unknown"/>
    <s v="user104@example.com"/>
    <n v="24"/>
    <s v="user104@example.com"/>
  </r>
  <r>
    <x v="83"/>
    <x v="5"/>
    <s v="SALES"/>
    <s v="india"/>
    <n v="99621"/>
    <d v="2016-08-07T00:00:00"/>
    <n v="3"/>
    <s v="Other"/>
    <s v="user145@example.com"/>
    <n v="17"/>
    <s v="user145@example.com"/>
  </r>
  <r>
    <x v="84"/>
    <x v="3"/>
    <s v="MARKETING"/>
    <s v="india"/>
    <n v="44682"/>
    <d v="2016-08-14T00:00:00"/>
    <n v="4"/>
    <s v="Female"/>
    <s v="user47@example.com"/>
    <n v="10"/>
    <s v="user47@example.com"/>
  </r>
  <r>
    <x v="85"/>
    <x v="6"/>
    <s v="FINANCE"/>
    <s v="unknown"/>
    <n v="35163"/>
    <d v="2016-08-21T00:00:00"/>
    <n v="5"/>
    <s v="Other"/>
    <s v="user197@example.com"/>
    <n v="3"/>
    <s v="user197@example.com"/>
  </r>
  <r>
    <x v="86"/>
    <x v="6"/>
    <s v="IT"/>
    <s v="india"/>
    <n v="33483"/>
    <d v="2016-08-28T00:00:00"/>
    <n v="4"/>
    <s v="Male"/>
    <s v="user177@example.com"/>
    <n v="27"/>
    <s v="user177@example.com"/>
  </r>
  <r>
    <x v="87"/>
    <x v="5"/>
    <s v="HR"/>
    <s v="germany"/>
    <n v="55303"/>
    <d v="2016-09-04T00:00:00"/>
    <n v="4"/>
    <s v="Male"/>
    <s v="user149@example.com"/>
    <n v="20"/>
    <s v="user149@example.com"/>
  </r>
  <r>
    <x v="88"/>
    <x v="6"/>
    <s v="IT"/>
    <s v="unknown"/>
    <n v="63434"/>
    <d v="2016-09-11T00:00:00"/>
    <n v="3"/>
    <s v="Unknown"/>
    <s v="user48@example.com"/>
    <n v="13"/>
    <s v="user48@example.com"/>
  </r>
  <r>
    <x v="89"/>
    <x v="4"/>
    <s v="UNKNOWN"/>
    <s v="australia"/>
    <n v="38830"/>
    <d v="2016-09-18T00:00:00"/>
    <n v="3"/>
    <s v="Other"/>
    <s v="user149@example.com"/>
    <n v="6"/>
    <s v="user149@example.com"/>
  </r>
  <r>
    <x v="90"/>
    <x v="0"/>
    <s v="MARKETING"/>
    <s v="uk"/>
    <n v="50741"/>
    <d v="2016-09-25T00:00:00"/>
    <n v="3"/>
    <s v="Unknown"/>
    <s v="user65@example.com"/>
    <n v="30"/>
    <s v="user65@example.com"/>
  </r>
  <r>
    <x v="91"/>
    <x v="2"/>
    <s v="HR"/>
    <s v="australia"/>
    <n v="69420"/>
    <d v="2016-10-02T00:00:00"/>
    <n v="1"/>
    <s v="Male"/>
    <s v="user43@example.com"/>
    <n v="22"/>
    <s v="user43@example.com"/>
  </r>
  <r>
    <x v="92"/>
    <x v="4"/>
    <s v="IT"/>
    <s v="unknown"/>
    <n v="80588"/>
    <d v="2016-10-09T00:00:00"/>
    <n v="5"/>
    <s v="Male"/>
    <s v="user98@example.com"/>
    <n v="15"/>
    <s v="user98@example.com"/>
  </r>
  <r>
    <x v="93"/>
    <x v="2"/>
    <s v="UNKNOWN"/>
    <s v="usa"/>
    <n v="76238"/>
    <d v="2016-10-16T00:00:00"/>
    <n v="4"/>
    <s v="Male"/>
    <s v="user102@example.com"/>
    <n v="8"/>
    <s v="user102@example.com"/>
  </r>
  <r>
    <x v="94"/>
    <x v="7"/>
    <s v="IT"/>
    <s v="india"/>
    <n v="33264"/>
    <d v="2016-10-23T00:00:00"/>
    <n v="3"/>
    <s v="Female"/>
    <s v="user148@example.com"/>
    <n v="1"/>
    <s v="user148@example.com"/>
  </r>
  <r>
    <x v="95"/>
    <x v="2"/>
    <s v="FINANCE"/>
    <s v="australia"/>
    <n v="96101"/>
    <d v="2016-10-30T00:00:00"/>
    <n v="3"/>
    <s v="Other"/>
    <s v="user155@example.com"/>
    <n v="25"/>
    <s v="user155@example.com"/>
  </r>
  <r>
    <x v="96"/>
    <x v="4"/>
    <s v="FINANCE"/>
    <s v="usa"/>
    <n v="72939"/>
    <d v="2016-11-06T00:00:00"/>
    <n v="3"/>
    <s v="Unknown"/>
    <s v="user191@example.com"/>
    <n v="18"/>
    <s v="user191@example.com"/>
  </r>
  <r>
    <x v="97"/>
    <x v="5"/>
    <s v="HR"/>
    <s v="germany"/>
    <n v="89333"/>
    <d v="2016-11-13T00:00:00"/>
    <n v="1"/>
    <s v="Male"/>
    <s v="user113@example.com"/>
    <n v="11"/>
    <s v="user113@example.com"/>
  </r>
  <r>
    <x v="98"/>
    <x v="7"/>
    <s v="IT"/>
    <s v="australia"/>
    <n v="70470"/>
    <d v="2016-11-20T00:00:00"/>
    <n v="3"/>
    <s v="Male"/>
    <s v="user62@example.com"/>
    <n v="4"/>
    <s v="user62@example.com"/>
  </r>
  <r>
    <x v="99"/>
    <x v="1"/>
    <s v="MARKETING"/>
    <s v="usa"/>
    <n v="70096"/>
    <d v="2016-11-27T00:00:00"/>
    <n v="4"/>
    <s v="Male"/>
    <s v="user76@example.com"/>
    <n v="28"/>
    <s v="user76@example.com"/>
  </r>
  <r>
    <x v="100"/>
    <x v="7"/>
    <s v="MARKETING"/>
    <s v="unknown"/>
    <n v="63687"/>
    <d v="2016-12-04T00:00:00"/>
    <n v="2"/>
    <s v="Other"/>
    <s v="user40@example.com"/>
    <n v="20"/>
    <s v="user40@example.com"/>
  </r>
  <r>
    <x v="101"/>
    <x v="7"/>
    <s v="IT"/>
    <s v="germany"/>
    <n v="66503"/>
    <d v="2016-12-11T00:00:00"/>
    <n v="3"/>
    <s v="Male"/>
    <s v="user200@example.com"/>
    <n v="13"/>
    <s v="user200@example.com"/>
  </r>
  <r>
    <x v="102"/>
    <x v="2"/>
    <s v="HR"/>
    <s v="germany"/>
    <n v="42096"/>
    <d v="2016-12-18T00:00:00"/>
    <n v="3"/>
    <s v="Female"/>
    <s v="user54@example.com"/>
    <n v="6"/>
    <s v="user54@example.com"/>
  </r>
  <r>
    <x v="103"/>
    <x v="2"/>
    <s v="MARKETING"/>
    <s v="unknown"/>
    <n v="79145"/>
    <d v="2016-12-25T00:00:00"/>
    <n v="5"/>
    <s v="Other"/>
    <s v="user20@example.com"/>
    <n v="30"/>
    <s v="user20@example.com"/>
  </r>
  <r>
    <x v="104"/>
    <x v="4"/>
    <s v="UNKNOWN"/>
    <s v="australia"/>
    <n v="61556"/>
    <d v="2017-01-01T00:00:00"/>
    <n v="1"/>
    <s v="Unknown"/>
    <s v="user40@example.com"/>
    <n v="23"/>
    <s v="user40@example.com"/>
  </r>
  <r>
    <x v="105"/>
    <x v="0"/>
    <s v="HR"/>
    <s v="uk"/>
    <n v="87963"/>
    <d v="2017-01-08T00:00:00"/>
    <n v="3"/>
    <s v="Other"/>
    <s v="invalid_email"/>
    <n v="16"/>
    <s v="unknown"/>
  </r>
  <r>
    <x v="106"/>
    <x v="1"/>
    <s v="IT"/>
    <s v="unknown"/>
    <n v="48325"/>
    <d v="2017-01-15T00:00:00"/>
    <n v="3"/>
    <s v="Male"/>
    <s v="user189@example.com"/>
    <n v="9"/>
    <s v="user189@example.com"/>
  </r>
  <r>
    <x v="107"/>
    <x v="5"/>
    <s v="MARKETING"/>
    <s v="australia"/>
    <n v="86412"/>
    <d v="2017-01-22T00:00:00"/>
    <n v="2"/>
    <s v="Female"/>
    <s v="user128@example.com"/>
    <n v="2"/>
    <s v="user128@example.com"/>
  </r>
  <r>
    <x v="108"/>
    <x v="5"/>
    <s v="HR"/>
    <s v="unknown"/>
    <n v="66761"/>
    <d v="2017-01-29T00:00:00"/>
    <n v="1"/>
    <s v="Unknown"/>
    <s v="user93@example.com"/>
    <n v="26"/>
    <s v="user93@example.com"/>
  </r>
  <r>
    <x v="109"/>
    <x v="4"/>
    <s v="UNKNOWN"/>
    <s v="india"/>
    <n v="88850"/>
    <d v="2017-02-05T00:00:00"/>
    <n v="1"/>
    <s v="Female"/>
    <s v="user174@example.com"/>
    <n v="19"/>
    <s v="user174@example.com"/>
  </r>
  <r>
    <x v="110"/>
    <x v="6"/>
    <s v="SALES"/>
    <s v="india"/>
    <n v="31293"/>
    <s v="Unknown"/>
    <n v="2"/>
    <s v="Female"/>
    <s v="user44@example.com"/>
    <n v="0"/>
    <s v="user44@example.com"/>
  </r>
  <r>
    <x v="111"/>
    <x v="6"/>
    <s v="IT"/>
    <s v="usa"/>
    <n v="34306"/>
    <d v="2017-02-19T00:00:00"/>
    <n v="5"/>
    <s v="Female"/>
    <s v="user192@example.com"/>
    <n v="5"/>
    <s v="user192@example.com"/>
  </r>
  <r>
    <x v="112"/>
    <x v="1"/>
    <s v="FINANCE"/>
    <s v="india"/>
    <n v="78330"/>
    <d v="2017-02-26T00:00:00"/>
    <n v="3"/>
    <s v="Other"/>
    <s v="user76@example.com"/>
    <n v="29"/>
    <s v="user76@example.com"/>
  </r>
  <r>
    <x v="113"/>
    <x v="2"/>
    <s v="IT"/>
    <s v="usa"/>
    <n v="47653"/>
    <d v="2017-03-05T00:00:00"/>
    <n v="1"/>
    <s v="Male"/>
    <s v="user82@example.com"/>
    <n v="19"/>
    <s v="user82@example.com"/>
  </r>
  <r>
    <x v="114"/>
    <x v="1"/>
    <s v="MARKETING"/>
    <s v="uk"/>
    <n v="44627"/>
    <d v="2017-03-12T00:00:00"/>
    <n v="4"/>
    <s v="Unknown"/>
    <s v="user97@example.com"/>
    <n v="12"/>
    <s v="user97@example.com"/>
  </r>
  <r>
    <x v="115"/>
    <x v="7"/>
    <s v="HR"/>
    <s v="germany"/>
    <n v="92343"/>
    <d v="2017-03-19T00:00:00"/>
    <n v="4"/>
    <s v="Female"/>
    <s v="user149@example.com"/>
    <n v="5"/>
    <s v="user149@example.com"/>
  </r>
  <r>
    <x v="116"/>
    <x v="7"/>
    <s v="MARKETING"/>
    <s v="australia"/>
    <n v="38837"/>
    <d v="2017-03-26T00:00:00"/>
    <n v="5"/>
    <s v="Female"/>
    <s v="user192@example.com"/>
    <n v="29"/>
    <s v="user192@example.com"/>
  </r>
  <r>
    <x v="117"/>
    <x v="7"/>
    <s v="MARKETING"/>
    <s v="unknown"/>
    <n v="73483"/>
    <d v="2017-04-02T00:00:00"/>
    <n v="1"/>
    <s v="Unknown"/>
    <s v="user137@example.com"/>
    <n v="22"/>
    <s v="user137@example.com"/>
  </r>
  <r>
    <x v="118"/>
    <x v="6"/>
    <s v="SALES"/>
    <s v="india"/>
    <n v="95032"/>
    <d v="2017-04-09T00:00:00"/>
    <n v="3"/>
    <s v="Unknown"/>
    <s v="user23@example.com"/>
    <n v="15"/>
    <s v="user23@example.com"/>
  </r>
  <r>
    <x v="119"/>
    <x v="1"/>
    <s v="SALES"/>
    <s v="australia"/>
    <n v="44358"/>
    <d v="2017-04-16T00:00:00"/>
    <n v="3"/>
    <s v="Female"/>
    <s v="user200@example.com"/>
    <n v="8"/>
    <s v="user200@example.com"/>
  </r>
  <r>
    <x v="120"/>
    <x v="0"/>
    <s v="IT"/>
    <s v="usa"/>
    <n v="66158"/>
    <s v="Unknown"/>
    <n v="5"/>
    <s v="Unknown"/>
    <s v="user101@example.com"/>
    <n v="0"/>
    <s v="user101@example.com"/>
  </r>
  <r>
    <x v="121"/>
    <x v="6"/>
    <s v="SALES"/>
    <s v="usa"/>
    <n v="45676"/>
    <d v="2017-04-30T00:00:00"/>
    <n v="2"/>
    <s v="Unknown"/>
    <s v="user132@example.com"/>
    <n v="25"/>
    <s v="user132@example.com"/>
  </r>
  <r>
    <x v="122"/>
    <x v="7"/>
    <s v="SALES"/>
    <s v="germany"/>
    <n v="52036"/>
    <d v="2017-05-07T00:00:00"/>
    <n v="3"/>
    <s v="Male"/>
    <s v="user171@example.com"/>
    <n v="17"/>
    <s v="user171@example.com"/>
  </r>
  <r>
    <x v="123"/>
    <x v="4"/>
    <s v="UNKNOWN"/>
    <s v="germany"/>
    <n v="30357"/>
    <d v="2017-05-14T00:00:00"/>
    <n v="5"/>
    <s v="Male"/>
    <s v="user145@example.com"/>
    <n v="10"/>
    <s v="user145@example.com"/>
  </r>
  <r>
    <x v="124"/>
    <x v="3"/>
    <s v="IT"/>
    <s v="unknown"/>
    <n v="60034"/>
    <d v="2017-05-21T00:00:00"/>
    <n v="1"/>
    <s v="Female"/>
    <s v="user75@example.com"/>
    <n v="3"/>
    <s v="user75@example.com"/>
  </r>
  <r>
    <x v="125"/>
    <x v="3"/>
    <s v="FINANCE"/>
    <s v="unknown"/>
    <n v="90019"/>
    <d v="2017-05-28T00:00:00"/>
    <n v="5"/>
    <s v="Unknown"/>
    <s v="user52@example.com"/>
    <n v="27"/>
    <s v="user52@example.com"/>
  </r>
  <r>
    <x v="126"/>
    <x v="7"/>
    <s v="UNKNOWN"/>
    <s v="germany"/>
    <n v="71494"/>
    <d v="2017-06-04T00:00:00"/>
    <n v="3"/>
    <s v="Male"/>
    <s v="user100@example.com"/>
    <n v="20"/>
    <s v="user100@example.com"/>
  </r>
  <r>
    <x v="127"/>
    <x v="3"/>
    <s v="FINANCE"/>
    <s v="usa"/>
    <n v="91953"/>
    <d v="2017-06-11T00:00:00"/>
    <n v="2"/>
    <s v="Male"/>
    <s v="user83@example.com"/>
    <n v="13"/>
    <s v="user83@example.com"/>
  </r>
  <r>
    <x v="128"/>
    <x v="6"/>
    <s v="SALES"/>
    <s v="usa"/>
    <n v="30402"/>
    <d v="2017-06-18T00:00:00"/>
    <n v="1"/>
    <s v="Unknown"/>
    <s v="user167@example.com"/>
    <n v="6"/>
    <s v="user167@example.com"/>
  </r>
  <r>
    <x v="129"/>
    <x v="7"/>
    <s v="UNKNOWN"/>
    <s v="uk"/>
    <n v="62994"/>
    <d v="2017-06-25T00:00:00"/>
    <n v="3"/>
    <s v="Unknown"/>
    <s v="user175@example.com"/>
    <n v="30"/>
    <s v="user175@example.com"/>
  </r>
  <r>
    <x v="130"/>
    <x v="2"/>
    <s v="SALES"/>
    <s v="india"/>
    <n v="48289"/>
    <s v="Unknown"/>
    <n v="3"/>
    <s v="Male"/>
    <s v="user25@example.com"/>
    <n v="0"/>
    <s v="user25@example.com"/>
  </r>
  <r>
    <x v="131"/>
    <x v="5"/>
    <s v="MARKETING"/>
    <s v="germany"/>
    <n v="34402"/>
    <d v="2017-07-09T00:00:00"/>
    <n v="3"/>
    <s v="Other"/>
    <s v="user42@example.com"/>
    <n v="15"/>
    <s v="user42@example.com"/>
  </r>
  <r>
    <x v="132"/>
    <x v="1"/>
    <s v="HR"/>
    <s v="usa"/>
    <n v="38678"/>
    <d v="2017-07-16T00:00:00"/>
    <n v="3"/>
    <s v="Other"/>
    <s v="user188@example.com"/>
    <n v="8"/>
    <s v="user188@example.com"/>
  </r>
  <r>
    <x v="133"/>
    <x v="6"/>
    <s v="HR"/>
    <s v="germany"/>
    <n v="45758"/>
    <d v="2017-07-23T00:00:00"/>
    <n v="3"/>
    <s v="Unknown"/>
    <s v="user44@example.com"/>
    <n v="1"/>
    <s v="user44@example.com"/>
  </r>
  <r>
    <x v="134"/>
    <x v="1"/>
    <s v="MARKETING"/>
    <s v="india"/>
    <n v="62476"/>
    <d v="2017-07-30T00:00:00"/>
    <n v="1"/>
    <s v="Other"/>
    <s v="user63@example.com"/>
    <n v="25"/>
    <s v="user63@example.com"/>
  </r>
  <r>
    <x v="135"/>
    <x v="0"/>
    <s v="IT"/>
    <s v="uk"/>
    <n v="39280"/>
    <d v="2017-08-06T00:00:00"/>
    <n v="3"/>
    <s v="Female"/>
    <s v="user198@example.com"/>
    <n v="18"/>
    <s v="user198@example.com"/>
  </r>
  <r>
    <x v="136"/>
    <x v="4"/>
    <s v="FINANCE"/>
    <s v="india"/>
    <n v="60335"/>
    <d v="2017-08-13T00:00:00"/>
    <n v="4"/>
    <s v="Other"/>
    <s v="user59@example.com"/>
    <n v="11"/>
    <s v="user59@example.com"/>
  </r>
  <r>
    <x v="137"/>
    <x v="6"/>
    <s v="HR"/>
    <s v="germany"/>
    <n v="84968"/>
    <d v="2017-08-20T00:00:00"/>
    <n v="3"/>
    <s v="Unknown"/>
    <s v="user165@example.com"/>
    <n v="4"/>
    <s v="user165@example.com"/>
  </r>
  <r>
    <x v="138"/>
    <x v="6"/>
    <s v="MARKETING"/>
    <s v="australia"/>
    <n v="84750"/>
    <d v="2017-08-27T00:00:00"/>
    <n v="4"/>
    <s v="Female"/>
    <s v="user3@example.com"/>
    <n v="28"/>
    <s v="user3@example.com"/>
  </r>
  <r>
    <x v="139"/>
    <x v="7"/>
    <s v="IT"/>
    <s v="unknown"/>
    <n v="73348"/>
    <d v="2017-09-03T00:00:00"/>
    <n v="2"/>
    <s v="Unknown"/>
    <s v="user22@example.com"/>
    <n v="21"/>
    <s v="user22@example.com"/>
  </r>
  <r>
    <x v="140"/>
    <x v="6"/>
    <s v="SALES"/>
    <s v="usa"/>
    <n v="67929"/>
    <d v="2017-09-10T00:00:00"/>
    <n v="4"/>
    <s v="Other"/>
    <s v="invalid_email"/>
    <n v="14"/>
    <s v="unknown"/>
  </r>
  <r>
    <x v="141"/>
    <x v="4"/>
    <s v="MARKETING"/>
    <s v="usa"/>
    <n v="66882"/>
    <d v="2017-09-17T00:00:00"/>
    <n v="5"/>
    <s v="Other"/>
    <s v="user103@example.com"/>
    <n v="7"/>
    <s v="user103@example.com"/>
  </r>
  <r>
    <x v="142"/>
    <x v="2"/>
    <s v="MARKETING"/>
    <s v="unknown"/>
    <n v="86775"/>
    <d v="2017-09-24T00:00:00"/>
    <n v="3"/>
    <s v="Other"/>
    <s v="user190@example.com"/>
    <n v="0"/>
    <s v="user190@example.com"/>
  </r>
  <r>
    <x v="143"/>
    <x v="6"/>
    <s v="SALES"/>
    <s v="uk"/>
    <n v="91620"/>
    <d v="2017-10-01T00:00:00"/>
    <n v="3"/>
    <s v="Unknown"/>
    <s v="user114@example.com"/>
    <n v="23"/>
    <s v="user114@example.com"/>
  </r>
  <r>
    <x v="144"/>
    <x v="1"/>
    <s v="UNKNOWN"/>
    <s v="unknown"/>
    <n v="94148"/>
    <d v="2017-10-08T00:00:00"/>
    <n v="2"/>
    <s v="Unknown"/>
    <s v="user53@example.com"/>
    <n v="16"/>
    <s v="user53@example.com"/>
  </r>
  <r>
    <x v="145"/>
    <x v="5"/>
    <s v="SALES"/>
    <s v="australia"/>
    <n v="35627"/>
    <d v="2017-10-15T00:00:00"/>
    <n v="5"/>
    <s v="Female"/>
    <s v="user188@example.com"/>
    <n v="9"/>
    <s v="user188@example.com"/>
  </r>
  <r>
    <x v="146"/>
    <x v="3"/>
    <s v="MARKETING"/>
    <s v="usa"/>
    <n v="57141"/>
    <d v="2017-10-22T00:00:00"/>
    <n v="2"/>
    <s v="Unknown"/>
    <s v="user165@example.com"/>
    <n v="2"/>
    <s v="user165@example.com"/>
  </r>
  <r>
    <x v="147"/>
    <x v="7"/>
    <s v="SALES"/>
    <s v="australia"/>
    <n v="65270"/>
    <d v="2017-10-29T00:00:00"/>
    <n v="1"/>
    <s v="Unknown"/>
    <s v="user163@example.com"/>
    <n v="26"/>
    <s v="user163@example.com"/>
  </r>
  <r>
    <x v="148"/>
    <x v="7"/>
    <s v="UNKNOWN"/>
    <s v="uk"/>
    <n v="67335"/>
    <d v="2017-11-05T00:00:00"/>
    <n v="1"/>
    <s v="Other"/>
    <s v="user112@example.com"/>
    <n v="19"/>
    <s v="user112@example.com"/>
  </r>
  <r>
    <x v="149"/>
    <x v="5"/>
    <s v="MARKETING"/>
    <s v="india"/>
    <n v="98475"/>
    <d v="2017-11-12T00:00:00"/>
    <n v="5"/>
    <s v="Other"/>
    <s v="user30@example.com"/>
    <n v="12"/>
    <s v="user30@example.co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s v="FINANCE"/>
    <s v="unknown"/>
    <n v="65605"/>
    <x v="0"/>
    <n v="2"/>
    <x v="0"/>
    <s v="invalid_email"/>
    <n v="0"/>
    <s v="unknown"/>
  </r>
  <r>
    <s v="EMP1001"/>
    <s v="Eve Adams"/>
    <s v="HR"/>
    <s v="germany"/>
    <n v="54255"/>
    <x v="1"/>
    <n v="1"/>
    <x v="1"/>
    <s v="user106@example.com"/>
    <n v="13"/>
    <s v="user106@example.com"/>
  </r>
  <r>
    <s v="EMP1002"/>
    <s v="Alice Brown"/>
    <s v="FINANCE"/>
    <s v="germany"/>
    <n v="63184"/>
    <x v="2"/>
    <n v="2"/>
    <x v="0"/>
    <s v="user176@example.com"/>
    <n v="6"/>
    <s v="user176@example.com"/>
  </r>
  <r>
    <s v="EMP1003"/>
    <s v="John Doe"/>
    <s v="SALES"/>
    <s v="usa"/>
    <n v="94406"/>
    <x v="3"/>
    <n v="1"/>
    <x v="2"/>
    <s v="user168@example.com"/>
    <n v="30"/>
    <s v="user168@example.com"/>
  </r>
  <r>
    <s v="EMP1004"/>
    <s v="Jane Smith"/>
    <s v="SALES"/>
    <s v="germany"/>
    <n v="64120"/>
    <x v="4"/>
    <n v="1"/>
    <x v="2"/>
    <s v="user49@example.com"/>
    <n v="23"/>
    <s v="user49@example.com"/>
  </r>
  <r>
    <s v="EMP1005"/>
    <s v="Alice Brown"/>
    <s v="IT"/>
    <s v="india"/>
    <n v="78421"/>
    <x v="5"/>
    <n v="2"/>
    <x v="3"/>
    <s v="user24@example.com"/>
    <n v="16"/>
    <s v="user24@example.com"/>
  </r>
  <r>
    <s v="EMP1006"/>
    <s v="Sam Wilson"/>
    <s v="SALES"/>
    <s v="unknown"/>
    <n v="67721"/>
    <x v="6"/>
    <n v="3"/>
    <x v="2"/>
    <s v="user168@example.com"/>
    <n v="9"/>
    <s v="user168@example.com"/>
  </r>
  <r>
    <s v="EMP1007"/>
    <s v="Chris Lee"/>
    <s v="MARKETING"/>
    <s v="unknown"/>
    <n v="35364"/>
    <x v="7"/>
    <n v="2"/>
    <x v="1"/>
    <s v="user26@example.com"/>
    <n v="2"/>
    <s v="user26@example.com"/>
  </r>
  <r>
    <s v="EMP1008"/>
    <s v="Alice Brown"/>
    <s v="IT"/>
    <s v="germany"/>
    <n v="97881"/>
    <x v="8"/>
    <n v="3"/>
    <x v="3"/>
    <s v="user25@example.com"/>
    <n v="23"/>
    <s v="user25@example.com"/>
  </r>
  <r>
    <s v="EMP1009"/>
    <s v="Chris Lee"/>
    <s v="HR"/>
    <s v="uk"/>
    <n v="91846"/>
    <x v="9"/>
    <n v="3"/>
    <x v="2"/>
    <s v="user153@example.com"/>
    <n v="16"/>
    <s v="user153@example.com"/>
  </r>
  <r>
    <s v="EMP1010"/>
    <s v="Sam Wilson"/>
    <s v="FINANCE"/>
    <s v="uk"/>
    <n v="64247"/>
    <x v="10"/>
    <n v="1"/>
    <x v="3"/>
    <s v="user18@example.com"/>
    <n v="9"/>
    <s v="user18@example.com"/>
  </r>
  <r>
    <s v="EMP1011"/>
    <s v="Sam Wilson"/>
    <s v="IT"/>
    <s v="usa"/>
    <n v="91180"/>
    <x v="11"/>
    <n v="5"/>
    <x v="2"/>
    <s v="user1@example.com"/>
    <n v="2"/>
    <s v="user1@example.com"/>
  </r>
  <r>
    <s v="EMP1012"/>
    <s v="Bob Johnson"/>
    <s v="SALES"/>
    <s v="unknown"/>
    <n v="96418"/>
    <x v="12"/>
    <n v="5"/>
    <x v="2"/>
    <s v="user106@example.com"/>
    <n v="26"/>
    <s v="user106@example.com"/>
  </r>
  <r>
    <s v="EMP1013"/>
    <s v="Sam Wilson"/>
    <s v="UNKNOWN"/>
    <s v="india"/>
    <n v="62158"/>
    <x v="13"/>
    <n v="4"/>
    <x v="0"/>
    <s v="user180@example.com"/>
    <n v="19"/>
    <s v="user180@example.com"/>
  </r>
  <r>
    <s v="EMP1014"/>
    <s v="Jane Smith"/>
    <s v="HR"/>
    <s v="unknown"/>
    <n v="59894"/>
    <x v="14"/>
    <n v="2"/>
    <x v="2"/>
    <s v="user184@example.com"/>
    <n v="12"/>
    <s v="user184@example.com"/>
  </r>
  <r>
    <s v="EMP1015"/>
    <s v="Unknown"/>
    <s v="IT"/>
    <s v="india"/>
    <n v="92443"/>
    <x v="15"/>
    <n v="3"/>
    <x v="1"/>
    <s v="user3@example.com"/>
    <n v="5"/>
    <s v="user3@example.com"/>
  </r>
  <r>
    <s v="EMP1016"/>
    <s v="Bob Johnson"/>
    <s v="UNKNOWN"/>
    <s v="germany"/>
    <n v="90271"/>
    <x v="16"/>
    <n v="3"/>
    <x v="0"/>
    <s v="user64@example.com"/>
    <n v="29"/>
    <s v="user64@example.com"/>
  </r>
  <r>
    <s v="EMP1017"/>
    <s v="Jane Smith"/>
    <s v="FINANCE"/>
    <s v="australia"/>
    <n v="41341"/>
    <x v="17"/>
    <n v="1"/>
    <x v="1"/>
    <s v="user38@example.com"/>
    <n v="21"/>
    <s v="user38@example.com"/>
  </r>
  <r>
    <s v="EMP1018"/>
    <s v="Alice Brown"/>
    <s v="FINANCE"/>
    <s v="uk"/>
    <n v="73602"/>
    <x v="18"/>
    <n v="3"/>
    <x v="0"/>
    <s v="user96@example.com"/>
    <n v="14"/>
    <s v="user96@example.com"/>
  </r>
  <r>
    <s v="EMP1019"/>
    <s v="Eve Adams"/>
    <s v="UNKNOWN"/>
    <s v="india"/>
    <n v="67531"/>
    <x v="19"/>
    <n v="5"/>
    <x v="3"/>
    <s v="user151@example.com"/>
    <n v="7"/>
    <s v="user151@example.com"/>
  </r>
  <r>
    <s v="EMP1020"/>
    <s v="Jane Smith"/>
    <s v="HR"/>
    <s v="usa"/>
    <n v="67835"/>
    <x v="20"/>
    <n v="2"/>
    <x v="1"/>
    <s v="user200@example.com"/>
    <n v="0"/>
    <s v="user200@example.com"/>
  </r>
  <r>
    <s v="EMP1021"/>
    <s v="Jane Smith"/>
    <s v="HR"/>
    <s v="unknown"/>
    <n v="98922"/>
    <x v="21"/>
    <n v="4"/>
    <x v="0"/>
    <s v="user77@example.com"/>
    <n v="24"/>
    <s v="user77@example.com"/>
  </r>
  <r>
    <s v="EMP1022"/>
    <s v="Eve Adams"/>
    <s v="FINANCE"/>
    <s v="india"/>
    <n v="38333"/>
    <x v="22"/>
    <n v="5"/>
    <x v="0"/>
    <s v="user128@example.com"/>
    <n v="17"/>
    <s v="user128@example.com"/>
  </r>
  <r>
    <s v="EMP1023"/>
    <s v="Alice Brown"/>
    <s v="MARKETING"/>
    <s v="uk"/>
    <n v="36515"/>
    <x v="23"/>
    <n v="3"/>
    <x v="2"/>
    <s v="user149@example.com"/>
    <n v="10"/>
    <s v="user149@example.com"/>
  </r>
  <r>
    <s v="EMP1024"/>
    <s v="Sam Wilson"/>
    <s v="FINANCE"/>
    <s v="unknown"/>
    <n v="91005"/>
    <x v="24"/>
    <n v="1"/>
    <x v="1"/>
    <s v="user122@example.com"/>
    <n v="3"/>
    <s v="user122@example.com"/>
  </r>
  <r>
    <s v="EMP1025"/>
    <s v="Chris Lee"/>
    <s v="UNKNOWN"/>
    <s v="unknown"/>
    <n v="52272"/>
    <x v="25"/>
    <n v="3"/>
    <x v="0"/>
    <s v="user41@example.com"/>
    <n v="27"/>
    <s v="user41@example.com"/>
  </r>
  <r>
    <s v="EMP1026"/>
    <s v="Eve Adams"/>
    <s v="SALES"/>
    <s v="germany"/>
    <n v="76518"/>
    <x v="26"/>
    <n v="2"/>
    <x v="3"/>
    <s v="user68@example.com"/>
    <n v="19"/>
    <s v="user68@example.com"/>
  </r>
  <r>
    <s v="EMP1027"/>
    <s v="Alice Brown"/>
    <s v="IT"/>
    <s v="uk"/>
    <n v="41448"/>
    <x v="27"/>
    <n v="3"/>
    <x v="1"/>
    <s v="user103@example.com"/>
    <n v="12"/>
    <s v="user103@example.com"/>
  </r>
  <r>
    <s v="EMP1028"/>
    <s v="John Doe"/>
    <s v="HR"/>
    <s v="uk"/>
    <n v="49282"/>
    <x v="28"/>
    <n v="2"/>
    <x v="3"/>
    <s v="user135@example.com"/>
    <n v="5"/>
    <s v="user135@example.com"/>
  </r>
  <r>
    <s v="EMP1029"/>
    <s v="Bob Johnson"/>
    <s v="MARKETING"/>
    <s v="uk"/>
    <n v="92959"/>
    <x v="29"/>
    <n v="5"/>
    <x v="0"/>
    <s v="user83@example.com"/>
    <n v="29"/>
    <s v="user83@example.com"/>
  </r>
  <r>
    <s v="EMP1030"/>
    <s v="Unknown"/>
    <s v="MARKETING"/>
    <s v="unknown"/>
    <n v="92259"/>
    <x v="0"/>
    <n v="1"/>
    <x v="0"/>
    <s v="user109@example.com"/>
    <n v="0"/>
    <s v="user109@example.com"/>
  </r>
  <r>
    <s v="EMP1031"/>
    <s v="Eve Adams"/>
    <s v="HR"/>
    <s v="germany"/>
    <n v="92299"/>
    <x v="30"/>
    <n v="3"/>
    <x v="2"/>
    <s v="user143@example.com"/>
    <n v="15"/>
    <s v="user143@example.com"/>
  </r>
  <r>
    <s v="EMP1032"/>
    <s v="Sam Wilson"/>
    <s v="HR"/>
    <s v="unknown"/>
    <n v="95586"/>
    <x v="31"/>
    <n v="3"/>
    <x v="1"/>
    <s v="user190@example.com"/>
    <n v="8"/>
    <s v="user190@example.com"/>
  </r>
  <r>
    <s v="EMP1033"/>
    <s v="Chris Lee"/>
    <s v="UNKNOWN"/>
    <s v="usa"/>
    <n v="95367"/>
    <x v="32"/>
    <n v="3"/>
    <x v="2"/>
    <s v="user136@example.com"/>
    <n v="1"/>
    <s v="user136@example.com"/>
  </r>
  <r>
    <s v="EMP1034"/>
    <s v="John Doe"/>
    <s v="SALES"/>
    <s v="australia"/>
    <n v="79549"/>
    <x v="33"/>
    <n v="3"/>
    <x v="0"/>
    <s v="user198@example.com"/>
    <n v="25"/>
    <s v="user198@example.com"/>
  </r>
  <r>
    <s v="EMP1035"/>
    <s v="Alice Brown"/>
    <s v="UNKNOWN"/>
    <s v="uk"/>
    <n v="54463"/>
    <x v="34"/>
    <n v="4"/>
    <x v="2"/>
    <s v="invalid_email"/>
    <n v="18"/>
    <s v="unknown"/>
  </r>
  <r>
    <s v="EMP1036"/>
    <s v="Alice Brown"/>
    <s v="IT"/>
    <s v="usa"/>
    <n v="89781"/>
    <x v="35"/>
    <n v="3"/>
    <x v="3"/>
    <s v="user31@example.com"/>
    <n v="11"/>
    <s v="user31@example.com"/>
  </r>
  <r>
    <s v="EMP1037"/>
    <s v="Alice Brown"/>
    <s v="HR"/>
    <s v="unknown"/>
    <n v="64796"/>
    <x v="36"/>
    <n v="3"/>
    <x v="1"/>
    <s v="user98@example.com"/>
    <n v="4"/>
    <s v="user98@example.com"/>
  </r>
  <r>
    <s v="EMP1038"/>
    <s v="John Doe"/>
    <s v="MARKETING"/>
    <s v="uk"/>
    <n v="52093"/>
    <x v="37"/>
    <n v="5"/>
    <x v="0"/>
    <s v="user154@example.com"/>
    <n v="28"/>
    <s v="user154@example.com"/>
  </r>
  <r>
    <s v="EMP1039"/>
    <s v="Chris Lee"/>
    <s v="HR"/>
    <s v="uk"/>
    <n v="48224"/>
    <x v="38"/>
    <n v="3"/>
    <x v="0"/>
    <s v="user42@example.com"/>
    <n v="20"/>
    <s v="user42@example.com"/>
  </r>
  <r>
    <s v="EMP1040"/>
    <s v="Bob Johnson"/>
    <s v="FINANCE"/>
    <s v="uk"/>
    <n v="65605"/>
    <x v="0"/>
    <n v="4"/>
    <x v="3"/>
    <s v="user89@example.com"/>
    <n v="0"/>
    <s v="user89@example.com"/>
  </r>
  <r>
    <s v="EMP1041"/>
    <s v="Alice Brown"/>
    <s v="IT"/>
    <s v="germany"/>
    <n v="33956"/>
    <x v="39"/>
    <n v="3"/>
    <x v="0"/>
    <s v="user47@example.com"/>
    <n v="6"/>
    <s v="user47@example.com"/>
  </r>
  <r>
    <s v="EMP1042"/>
    <s v="Bob Johnson"/>
    <s v="UNKNOWN"/>
    <s v="australia"/>
    <n v="64913"/>
    <x v="40"/>
    <n v="1"/>
    <x v="3"/>
    <s v="user175@example.com"/>
    <n v="30"/>
    <s v="user175@example.com"/>
  </r>
  <r>
    <s v="EMP1043"/>
    <s v="Alice Brown"/>
    <s v="MARKETING"/>
    <s v="australia"/>
    <n v="35326"/>
    <x v="41"/>
    <n v="3"/>
    <x v="3"/>
    <s v="user57@example.com"/>
    <n v="23"/>
    <s v="user57@example.com"/>
  </r>
  <r>
    <s v="EMP1044"/>
    <s v="Chris Lee"/>
    <s v="FINANCE"/>
    <s v="unknown"/>
    <n v="81610"/>
    <x v="42"/>
    <n v="1"/>
    <x v="0"/>
    <s v="user20@example.com"/>
    <n v="16"/>
    <s v="user20@example.com"/>
  </r>
  <r>
    <s v="EMP1045"/>
    <s v="Unknown"/>
    <s v="HR"/>
    <s v="unknown"/>
    <n v="58962"/>
    <x v="43"/>
    <n v="3"/>
    <x v="1"/>
    <s v="user106@example.com"/>
    <n v="9"/>
    <s v="user106@example.com"/>
  </r>
  <r>
    <s v="EMP1046"/>
    <s v="Chris Lee"/>
    <s v="IT"/>
    <s v="germany"/>
    <n v="92701"/>
    <x v="44"/>
    <n v="3"/>
    <x v="1"/>
    <s v="user199@example.com"/>
    <n v="2"/>
    <s v="user199@example.com"/>
  </r>
  <r>
    <s v="EMP1047"/>
    <s v="Chris Lee"/>
    <s v="HR"/>
    <s v="india"/>
    <n v="58245"/>
    <x v="45"/>
    <n v="4"/>
    <x v="0"/>
    <s v="user43@example.com"/>
    <n v="26"/>
    <s v="user43@example.com"/>
  </r>
  <r>
    <s v="EMP1048"/>
    <s v="John Doe"/>
    <s v="FINANCE"/>
    <s v="unknown"/>
    <n v="66513"/>
    <x v="46"/>
    <n v="2"/>
    <x v="1"/>
    <s v="user24@example.com"/>
    <n v="18"/>
    <s v="user24@example.com"/>
  </r>
  <r>
    <s v="EMP1049"/>
    <s v="Eve Adams"/>
    <s v="HR"/>
    <s v="germany"/>
    <n v="78720"/>
    <x v="47"/>
    <n v="5"/>
    <x v="3"/>
    <s v="user89@example.com"/>
    <n v="11"/>
    <s v="user89@example.com"/>
  </r>
  <r>
    <s v="EMP1050"/>
    <s v="Chris Lee"/>
    <s v="UNKNOWN"/>
    <s v="unknown"/>
    <n v="30686"/>
    <x v="0"/>
    <n v="2"/>
    <x v="3"/>
    <s v="user95@example.com"/>
    <n v="0"/>
    <s v="user95@example.com"/>
  </r>
  <r>
    <s v="EMP1051"/>
    <s v="Sam Wilson"/>
    <s v="SALES"/>
    <s v="india"/>
    <n v="39423"/>
    <x v="48"/>
    <n v="5"/>
    <x v="0"/>
    <s v="user59@example.com"/>
    <n v="28"/>
    <s v="user59@example.com"/>
  </r>
  <r>
    <s v="EMP1052"/>
    <s v="Eve Adams"/>
    <s v="MARKETING"/>
    <s v="unknown"/>
    <n v="30280"/>
    <x v="49"/>
    <n v="1"/>
    <x v="0"/>
    <s v="user152@example.com"/>
    <n v="21"/>
    <s v="user152@example.com"/>
  </r>
  <r>
    <s v="EMP1053"/>
    <s v="Eve Adams"/>
    <s v="FINANCE"/>
    <s v="uk"/>
    <n v="33352"/>
    <x v="50"/>
    <n v="3"/>
    <x v="3"/>
    <s v="user200@example.com"/>
    <n v="14"/>
    <s v="user200@example.com"/>
  </r>
  <r>
    <s v="EMP1054"/>
    <s v="Bob Johnson"/>
    <s v="MARKETING"/>
    <s v="uk"/>
    <n v="75633"/>
    <x v="51"/>
    <n v="5"/>
    <x v="1"/>
    <s v="user92@example.com"/>
    <n v="7"/>
    <s v="user92@example.com"/>
  </r>
  <r>
    <s v="EMP1055"/>
    <s v="Chris Lee"/>
    <s v="UNKNOWN"/>
    <s v="usa"/>
    <n v="74815"/>
    <x v="52"/>
    <n v="5"/>
    <x v="3"/>
    <s v="user50@example.com"/>
    <n v="0"/>
    <s v="user50@example.com"/>
  </r>
  <r>
    <s v="EMP1056"/>
    <s v="John Doe"/>
    <s v="SALES"/>
    <s v="australia"/>
    <n v="60011"/>
    <x v="53"/>
    <n v="1"/>
    <x v="2"/>
    <s v="user63@example.com"/>
    <n v="24"/>
    <s v="user63@example.com"/>
  </r>
  <r>
    <s v="EMP1057"/>
    <s v="Eve Adams"/>
    <s v="UNKNOWN"/>
    <s v="india"/>
    <n v="96949"/>
    <x v="54"/>
    <n v="3"/>
    <x v="0"/>
    <s v="user103@example.com"/>
    <n v="17"/>
    <s v="user103@example.com"/>
  </r>
  <r>
    <s v="EMP1058"/>
    <s v="Sam Wilson"/>
    <s v="MARKETING"/>
    <s v="unknown"/>
    <n v="84924"/>
    <x v="55"/>
    <n v="5"/>
    <x v="2"/>
    <s v="user150@example.com"/>
    <n v="10"/>
    <s v="user150@example.com"/>
  </r>
  <r>
    <s v="EMP1059"/>
    <s v="Sam Wilson"/>
    <s v="FINANCE"/>
    <s v="usa"/>
    <n v="82033"/>
    <x v="56"/>
    <n v="1"/>
    <x v="0"/>
    <s v="user20@example.com"/>
    <n v="3"/>
    <s v="user20@example.com"/>
  </r>
  <r>
    <s v="EMP1060"/>
    <s v="Unknown"/>
    <s v="MARKETING"/>
    <s v="germany"/>
    <n v="63687"/>
    <x v="0"/>
    <n v="5"/>
    <x v="0"/>
    <s v="user112@example.com"/>
    <n v="0"/>
    <s v="user112@example.com"/>
  </r>
  <r>
    <s v="EMP1061"/>
    <s v="Eve Adams"/>
    <s v="UNKNOWN"/>
    <s v="australia"/>
    <n v="31499"/>
    <x v="57"/>
    <n v="2"/>
    <x v="0"/>
    <s v="user31@example.com"/>
    <n v="18"/>
    <s v="user31@example.com"/>
  </r>
  <r>
    <s v="EMP1062"/>
    <s v="Chris Lee"/>
    <s v="IT"/>
    <s v="uk"/>
    <n v="97981"/>
    <x v="58"/>
    <n v="5"/>
    <x v="3"/>
    <s v="user71@example.com"/>
    <n v="11"/>
    <s v="user71@example.com"/>
  </r>
  <r>
    <s v="EMP1063"/>
    <s v="Eve Adams"/>
    <s v="HR"/>
    <s v="usa"/>
    <n v="36541"/>
    <x v="59"/>
    <n v="2"/>
    <x v="1"/>
    <s v="user97@example.com"/>
    <n v="4"/>
    <s v="user97@example.com"/>
  </r>
  <r>
    <s v="EMP1064"/>
    <s v="John Doe"/>
    <s v="IT"/>
    <s v="india"/>
    <n v="84737"/>
    <x v="60"/>
    <n v="1"/>
    <x v="2"/>
    <s v="user141@example.com"/>
    <n v="28"/>
    <s v="user141@example.com"/>
  </r>
  <r>
    <s v="EMP1065"/>
    <s v="Sam Wilson"/>
    <s v="FINANCE"/>
    <s v="india"/>
    <n v="33468"/>
    <x v="61"/>
    <n v="4"/>
    <x v="2"/>
    <s v="user125@example.com"/>
    <n v="21"/>
    <s v="user125@example.com"/>
  </r>
  <r>
    <s v="EMP1066"/>
    <s v="Sam Wilson"/>
    <s v="UNKNOWN"/>
    <s v="australia"/>
    <n v="96365"/>
    <x v="62"/>
    <n v="3"/>
    <x v="1"/>
    <s v="user90@example.com"/>
    <n v="14"/>
    <s v="user90@example.com"/>
  </r>
  <r>
    <s v="EMP1067"/>
    <s v="Alice Brown"/>
    <s v="SALES"/>
    <s v="india"/>
    <n v="61942"/>
    <x v="63"/>
    <n v="3"/>
    <x v="3"/>
    <s v="user192@example.com"/>
    <n v="7"/>
    <s v="user192@example.com"/>
  </r>
  <r>
    <s v="EMP1068"/>
    <s v="Sam Wilson"/>
    <s v="FINANCE"/>
    <s v="uk"/>
    <n v="41467"/>
    <x v="64"/>
    <n v="2"/>
    <x v="0"/>
    <s v="user77@example.com"/>
    <n v="0"/>
    <s v="user77@example.com"/>
  </r>
  <r>
    <s v="EMP1069"/>
    <s v="Bob Johnson"/>
    <s v="FINANCE"/>
    <s v="india"/>
    <n v="77096"/>
    <x v="65"/>
    <n v="1"/>
    <x v="0"/>
    <s v="user65@example.com"/>
    <n v="23"/>
    <s v="user65@example.com"/>
  </r>
  <r>
    <s v="EMP1070"/>
    <s v="Eve Adams"/>
    <s v="SALES"/>
    <s v="australia"/>
    <n v="69952"/>
    <x v="66"/>
    <n v="5"/>
    <x v="3"/>
    <s v="invalid_email"/>
    <n v="16"/>
    <s v="unknown"/>
  </r>
  <r>
    <s v="EMP1071"/>
    <s v="Eve Adams"/>
    <s v="MARKETING"/>
    <s v="usa"/>
    <n v="85065"/>
    <x v="67"/>
    <n v="3"/>
    <x v="0"/>
    <s v="user142@example.com"/>
    <n v="9"/>
    <s v="user142@example.com"/>
  </r>
  <r>
    <s v="EMP1072"/>
    <s v="Bob Johnson"/>
    <s v="MARKETING"/>
    <s v="india"/>
    <n v="56512"/>
    <x v="68"/>
    <n v="3"/>
    <x v="1"/>
    <s v="user153@example.com"/>
    <n v="2"/>
    <s v="user153@example.com"/>
  </r>
  <r>
    <s v="EMP1073"/>
    <s v="John Doe"/>
    <s v="SALES"/>
    <s v="india"/>
    <n v="91101"/>
    <x v="69"/>
    <n v="4"/>
    <x v="3"/>
    <s v="user71@example.com"/>
    <n v="26"/>
    <s v="user71@example.com"/>
  </r>
  <r>
    <s v="EMP1074"/>
    <s v="Sam Wilson"/>
    <s v="UNKNOWN"/>
    <s v="germany"/>
    <n v="41243"/>
    <x v="70"/>
    <n v="3"/>
    <x v="0"/>
    <s v="user143@example.com"/>
    <n v="19"/>
    <s v="user143@example.com"/>
  </r>
  <r>
    <s v="EMP1075"/>
    <s v="Unknown"/>
    <s v="SALES"/>
    <s v="unknown"/>
    <n v="96142"/>
    <x v="71"/>
    <n v="1"/>
    <x v="1"/>
    <s v="user17@example.com"/>
    <n v="12"/>
    <s v="user17@example.com"/>
  </r>
  <r>
    <s v="EMP1076"/>
    <s v="Eve Adams"/>
    <s v="IT"/>
    <s v="india"/>
    <n v="94301"/>
    <x v="72"/>
    <n v="1"/>
    <x v="2"/>
    <s v="user20@example.com"/>
    <n v="5"/>
    <s v="user20@example.com"/>
  </r>
  <r>
    <s v="EMP1077"/>
    <s v="Jane Smith"/>
    <s v="UNKNOWN"/>
    <s v="uk"/>
    <n v="69166"/>
    <x v="73"/>
    <n v="1"/>
    <x v="3"/>
    <s v="user22@example.com"/>
    <n v="29"/>
    <s v="user22@example.com"/>
  </r>
  <r>
    <s v="EMP1078"/>
    <s v="Sam Wilson"/>
    <s v="UNKNOWN"/>
    <s v="uk"/>
    <n v="78245"/>
    <x v="74"/>
    <n v="2"/>
    <x v="0"/>
    <s v="user46@example.com"/>
    <n v="21"/>
    <s v="user46@example.com"/>
  </r>
  <r>
    <s v="EMP1079"/>
    <s v="Chris Lee"/>
    <s v="SALES"/>
    <s v="usa"/>
    <n v="66079"/>
    <x v="75"/>
    <n v="2"/>
    <x v="1"/>
    <s v="user55@example.com"/>
    <n v="14"/>
    <s v="user55@example.com"/>
  </r>
  <r>
    <s v="EMP1080"/>
    <s v="Eve Adams"/>
    <s v="MARKETING"/>
    <s v="india"/>
    <n v="63687"/>
    <x v="0"/>
    <n v="3"/>
    <x v="0"/>
    <s v="user135@example.com"/>
    <n v="0"/>
    <s v="user135@example.com"/>
  </r>
  <r>
    <s v="EMP1081"/>
    <s v="Jane Smith"/>
    <s v="SALES"/>
    <s v="usa"/>
    <n v="95621"/>
    <x v="76"/>
    <n v="3"/>
    <x v="3"/>
    <s v="user156@example.com"/>
    <n v="0"/>
    <s v="user156@example.com"/>
  </r>
  <r>
    <s v="EMP1082"/>
    <s v="Eve Adams"/>
    <s v="IT"/>
    <s v="uk"/>
    <n v="42262"/>
    <x v="77"/>
    <n v="1"/>
    <x v="0"/>
    <s v="user104@example.com"/>
    <n v="24"/>
    <s v="user104@example.com"/>
  </r>
  <r>
    <s v="EMP1083"/>
    <s v="Sam Wilson"/>
    <s v="SALES"/>
    <s v="india"/>
    <n v="99621"/>
    <x v="78"/>
    <n v="3"/>
    <x v="1"/>
    <s v="user145@example.com"/>
    <n v="17"/>
    <s v="user145@example.com"/>
  </r>
  <r>
    <s v="EMP1084"/>
    <s v="John Doe"/>
    <s v="MARKETING"/>
    <s v="india"/>
    <n v="44682"/>
    <x v="79"/>
    <n v="4"/>
    <x v="3"/>
    <s v="user47@example.com"/>
    <n v="10"/>
    <s v="user47@example.com"/>
  </r>
  <r>
    <s v="EMP1085"/>
    <s v="Chris Lee"/>
    <s v="FINANCE"/>
    <s v="unknown"/>
    <n v="35163"/>
    <x v="80"/>
    <n v="5"/>
    <x v="1"/>
    <s v="user197@example.com"/>
    <n v="3"/>
    <s v="user197@example.com"/>
  </r>
  <r>
    <s v="EMP1086"/>
    <s v="Chris Lee"/>
    <s v="IT"/>
    <s v="india"/>
    <n v="33483"/>
    <x v="81"/>
    <n v="4"/>
    <x v="2"/>
    <s v="user177@example.com"/>
    <n v="27"/>
    <s v="user177@example.com"/>
  </r>
  <r>
    <s v="EMP1087"/>
    <s v="Sam Wilson"/>
    <s v="HR"/>
    <s v="germany"/>
    <n v="55303"/>
    <x v="82"/>
    <n v="4"/>
    <x v="2"/>
    <s v="user149@example.com"/>
    <n v="20"/>
    <s v="user149@example.com"/>
  </r>
  <r>
    <s v="EMP1088"/>
    <s v="Chris Lee"/>
    <s v="IT"/>
    <s v="unknown"/>
    <n v="63434"/>
    <x v="83"/>
    <n v="3"/>
    <x v="0"/>
    <s v="user48@example.com"/>
    <n v="13"/>
    <s v="user48@example.com"/>
  </r>
  <r>
    <s v="EMP1089"/>
    <s v="Jane Smith"/>
    <s v="UNKNOWN"/>
    <s v="australia"/>
    <n v="38830"/>
    <x v="84"/>
    <n v="3"/>
    <x v="1"/>
    <s v="user149@example.com"/>
    <n v="6"/>
    <s v="user149@example.com"/>
  </r>
  <r>
    <s v="EMP1090"/>
    <s v="Unknown"/>
    <s v="MARKETING"/>
    <s v="uk"/>
    <n v="50741"/>
    <x v="85"/>
    <n v="3"/>
    <x v="0"/>
    <s v="user65@example.com"/>
    <n v="30"/>
    <s v="user65@example.com"/>
  </r>
  <r>
    <s v="EMP1091"/>
    <s v="Alice Brown"/>
    <s v="HR"/>
    <s v="australia"/>
    <n v="69420"/>
    <x v="86"/>
    <n v="1"/>
    <x v="2"/>
    <s v="user43@example.com"/>
    <n v="22"/>
    <s v="user43@example.com"/>
  </r>
  <r>
    <s v="EMP1092"/>
    <s v="Jane Smith"/>
    <s v="IT"/>
    <s v="unknown"/>
    <n v="80588"/>
    <x v="87"/>
    <n v="5"/>
    <x v="2"/>
    <s v="user98@example.com"/>
    <n v="15"/>
    <s v="user98@example.com"/>
  </r>
  <r>
    <s v="EMP1093"/>
    <s v="Alice Brown"/>
    <s v="UNKNOWN"/>
    <s v="usa"/>
    <n v="76238"/>
    <x v="88"/>
    <n v="4"/>
    <x v="2"/>
    <s v="user102@example.com"/>
    <n v="8"/>
    <s v="user102@example.com"/>
  </r>
  <r>
    <s v="EMP1094"/>
    <s v="Bob Johnson"/>
    <s v="IT"/>
    <s v="india"/>
    <n v="33264"/>
    <x v="89"/>
    <n v="3"/>
    <x v="3"/>
    <s v="user148@example.com"/>
    <n v="1"/>
    <s v="user148@example.com"/>
  </r>
  <r>
    <s v="EMP1095"/>
    <s v="Alice Brown"/>
    <s v="FINANCE"/>
    <s v="australia"/>
    <n v="96101"/>
    <x v="90"/>
    <n v="3"/>
    <x v="1"/>
    <s v="user155@example.com"/>
    <n v="25"/>
    <s v="user155@example.com"/>
  </r>
  <r>
    <s v="EMP1096"/>
    <s v="Jane Smith"/>
    <s v="FINANCE"/>
    <s v="usa"/>
    <n v="72939"/>
    <x v="91"/>
    <n v="3"/>
    <x v="0"/>
    <s v="user191@example.com"/>
    <n v="18"/>
    <s v="user191@example.com"/>
  </r>
  <r>
    <s v="EMP1097"/>
    <s v="Sam Wilson"/>
    <s v="HR"/>
    <s v="germany"/>
    <n v="89333"/>
    <x v="92"/>
    <n v="1"/>
    <x v="2"/>
    <s v="user113@example.com"/>
    <n v="11"/>
    <s v="user113@example.com"/>
  </r>
  <r>
    <s v="EMP1098"/>
    <s v="Bob Johnson"/>
    <s v="IT"/>
    <s v="australia"/>
    <n v="70470"/>
    <x v="93"/>
    <n v="3"/>
    <x v="2"/>
    <s v="user62@example.com"/>
    <n v="4"/>
    <s v="user62@example.com"/>
  </r>
  <r>
    <s v="EMP1099"/>
    <s v="Eve Adams"/>
    <s v="MARKETING"/>
    <s v="usa"/>
    <n v="70096"/>
    <x v="94"/>
    <n v="4"/>
    <x v="2"/>
    <s v="user76@example.com"/>
    <n v="28"/>
    <s v="user76@example.com"/>
  </r>
  <r>
    <s v="EMP1100"/>
    <s v="Bob Johnson"/>
    <s v="MARKETING"/>
    <s v="unknown"/>
    <n v="63687"/>
    <x v="95"/>
    <n v="2"/>
    <x v="1"/>
    <s v="user40@example.com"/>
    <n v="20"/>
    <s v="user40@example.com"/>
  </r>
  <r>
    <s v="EMP1101"/>
    <s v="Bob Johnson"/>
    <s v="IT"/>
    <s v="germany"/>
    <n v="66503"/>
    <x v="96"/>
    <n v="3"/>
    <x v="2"/>
    <s v="user200@example.com"/>
    <n v="13"/>
    <s v="user200@example.com"/>
  </r>
  <r>
    <s v="EMP1102"/>
    <s v="Alice Brown"/>
    <s v="HR"/>
    <s v="germany"/>
    <n v="42096"/>
    <x v="97"/>
    <n v="3"/>
    <x v="3"/>
    <s v="user54@example.com"/>
    <n v="6"/>
    <s v="user54@example.com"/>
  </r>
  <r>
    <s v="EMP1103"/>
    <s v="Alice Brown"/>
    <s v="MARKETING"/>
    <s v="unknown"/>
    <n v="79145"/>
    <x v="98"/>
    <n v="5"/>
    <x v="1"/>
    <s v="user20@example.com"/>
    <n v="30"/>
    <s v="user20@example.com"/>
  </r>
  <r>
    <s v="EMP1104"/>
    <s v="Jane Smith"/>
    <s v="UNKNOWN"/>
    <s v="australia"/>
    <n v="61556"/>
    <x v="99"/>
    <n v="1"/>
    <x v="0"/>
    <s v="user40@example.com"/>
    <n v="23"/>
    <s v="user40@example.com"/>
  </r>
  <r>
    <s v="EMP1105"/>
    <s v="Unknown"/>
    <s v="HR"/>
    <s v="uk"/>
    <n v="87963"/>
    <x v="100"/>
    <n v="3"/>
    <x v="1"/>
    <s v="invalid_email"/>
    <n v="16"/>
    <s v="unknown"/>
  </r>
  <r>
    <s v="EMP1106"/>
    <s v="Eve Adams"/>
    <s v="IT"/>
    <s v="unknown"/>
    <n v="48325"/>
    <x v="101"/>
    <n v="3"/>
    <x v="2"/>
    <s v="user189@example.com"/>
    <n v="9"/>
    <s v="user189@example.com"/>
  </r>
  <r>
    <s v="EMP1107"/>
    <s v="Sam Wilson"/>
    <s v="MARKETING"/>
    <s v="australia"/>
    <n v="86412"/>
    <x v="102"/>
    <n v="2"/>
    <x v="3"/>
    <s v="user128@example.com"/>
    <n v="2"/>
    <s v="user128@example.com"/>
  </r>
  <r>
    <s v="EMP1108"/>
    <s v="Sam Wilson"/>
    <s v="HR"/>
    <s v="unknown"/>
    <n v="66761"/>
    <x v="103"/>
    <n v="1"/>
    <x v="0"/>
    <s v="user93@example.com"/>
    <n v="26"/>
    <s v="user93@example.com"/>
  </r>
  <r>
    <s v="EMP1109"/>
    <s v="Jane Smith"/>
    <s v="UNKNOWN"/>
    <s v="india"/>
    <n v="88850"/>
    <x v="104"/>
    <n v="1"/>
    <x v="3"/>
    <s v="user174@example.com"/>
    <n v="19"/>
    <s v="user174@example.com"/>
  </r>
  <r>
    <s v="EMP1110"/>
    <s v="Chris Lee"/>
    <s v="SALES"/>
    <s v="india"/>
    <n v="31293"/>
    <x v="0"/>
    <n v="2"/>
    <x v="3"/>
    <s v="user44@example.com"/>
    <n v="0"/>
    <s v="user44@example.com"/>
  </r>
  <r>
    <s v="EMP1111"/>
    <s v="Chris Lee"/>
    <s v="IT"/>
    <s v="usa"/>
    <n v="34306"/>
    <x v="105"/>
    <n v="5"/>
    <x v="3"/>
    <s v="user192@example.com"/>
    <n v="5"/>
    <s v="user192@example.com"/>
  </r>
  <r>
    <s v="EMP1112"/>
    <s v="Eve Adams"/>
    <s v="FINANCE"/>
    <s v="india"/>
    <n v="78330"/>
    <x v="106"/>
    <n v="3"/>
    <x v="1"/>
    <s v="user76@example.com"/>
    <n v="29"/>
    <s v="user76@example.com"/>
  </r>
  <r>
    <s v="EMP1113"/>
    <s v="Alice Brown"/>
    <s v="IT"/>
    <s v="usa"/>
    <n v="47653"/>
    <x v="107"/>
    <n v="1"/>
    <x v="2"/>
    <s v="user82@example.com"/>
    <n v="19"/>
    <s v="user82@example.com"/>
  </r>
  <r>
    <s v="EMP1114"/>
    <s v="Eve Adams"/>
    <s v="MARKETING"/>
    <s v="uk"/>
    <n v="44627"/>
    <x v="108"/>
    <n v="4"/>
    <x v="0"/>
    <s v="user97@example.com"/>
    <n v="12"/>
    <s v="user97@example.com"/>
  </r>
  <r>
    <s v="EMP1115"/>
    <s v="Bob Johnson"/>
    <s v="HR"/>
    <s v="germany"/>
    <n v="92343"/>
    <x v="109"/>
    <n v="4"/>
    <x v="3"/>
    <s v="user149@example.com"/>
    <n v="5"/>
    <s v="user149@example.com"/>
  </r>
  <r>
    <s v="EMP1116"/>
    <s v="Bob Johnson"/>
    <s v="MARKETING"/>
    <s v="australia"/>
    <n v="38837"/>
    <x v="110"/>
    <n v="5"/>
    <x v="3"/>
    <s v="user192@example.com"/>
    <n v="29"/>
    <s v="user192@example.com"/>
  </r>
  <r>
    <s v="EMP1117"/>
    <s v="Bob Johnson"/>
    <s v="MARKETING"/>
    <s v="unknown"/>
    <n v="73483"/>
    <x v="111"/>
    <n v="1"/>
    <x v="0"/>
    <s v="user137@example.com"/>
    <n v="22"/>
    <s v="user137@example.com"/>
  </r>
  <r>
    <s v="EMP1118"/>
    <s v="Chris Lee"/>
    <s v="SALES"/>
    <s v="india"/>
    <n v="95032"/>
    <x v="112"/>
    <n v="3"/>
    <x v="0"/>
    <s v="user23@example.com"/>
    <n v="15"/>
    <s v="user23@example.com"/>
  </r>
  <r>
    <s v="EMP1119"/>
    <s v="Eve Adams"/>
    <s v="SALES"/>
    <s v="australia"/>
    <n v="44358"/>
    <x v="113"/>
    <n v="3"/>
    <x v="3"/>
    <s v="user200@example.com"/>
    <n v="8"/>
    <s v="user200@example.com"/>
  </r>
  <r>
    <s v="EMP1120"/>
    <s v="Unknown"/>
    <s v="IT"/>
    <s v="usa"/>
    <n v="66158"/>
    <x v="0"/>
    <n v="5"/>
    <x v="0"/>
    <s v="user101@example.com"/>
    <n v="0"/>
    <s v="user101@example.com"/>
  </r>
  <r>
    <s v="EMP1121"/>
    <s v="Chris Lee"/>
    <s v="SALES"/>
    <s v="usa"/>
    <n v="45676"/>
    <x v="114"/>
    <n v="2"/>
    <x v="0"/>
    <s v="user132@example.com"/>
    <n v="25"/>
    <s v="user132@example.com"/>
  </r>
  <r>
    <s v="EMP1122"/>
    <s v="Bob Johnson"/>
    <s v="SALES"/>
    <s v="germany"/>
    <n v="52036"/>
    <x v="115"/>
    <n v="3"/>
    <x v="2"/>
    <s v="user171@example.com"/>
    <n v="17"/>
    <s v="user171@example.com"/>
  </r>
  <r>
    <s v="EMP1123"/>
    <s v="Jane Smith"/>
    <s v="UNKNOWN"/>
    <s v="germany"/>
    <n v="30357"/>
    <x v="116"/>
    <n v="5"/>
    <x v="2"/>
    <s v="user145@example.com"/>
    <n v="10"/>
    <s v="user145@example.com"/>
  </r>
  <r>
    <s v="EMP1124"/>
    <s v="John Doe"/>
    <s v="IT"/>
    <s v="unknown"/>
    <n v="60034"/>
    <x v="117"/>
    <n v="1"/>
    <x v="3"/>
    <s v="user75@example.com"/>
    <n v="3"/>
    <s v="user75@example.com"/>
  </r>
  <r>
    <s v="EMP1125"/>
    <s v="John Doe"/>
    <s v="FINANCE"/>
    <s v="unknown"/>
    <n v="90019"/>
    <x v="118"/>
    <n v="5"/>
    <x v="0"/>
    <s v="user52@example.com"/>
    <n v="27"/>
    <s v="user52@example.com"/>
  </r>
  <r>
    <s v="EMP1126"/>
    <s v="Bob Johnson"/>
    <s v="UNKNOWN"/>
    <s v="germany"/>
    <n v="71494"/>
    <x v="119"/>
    <n v="3"/>
    <x v="2"/>
    <s v="user100@example.com"/>
    <n v="20"/>
    <s v="user100@example.com"/>
  </r>
  <r>
    <s v="EMP1127"/>
    <s v="John Doe"/>
    <s v="FINANCE"/>
    <s v="usa"/>
    <n v="91953"/>
    <x v="120"/>
    <n v="2"/>
    <x v="2"/>
    <s v="user83@example.com"/>
    <n v="13"/>
    <s v="user83@example.com"/>
  </r>
  <r>
    <s v="EMP1128"/>
    <s v="Chris Lee"/>
    <s v="SALES"/>
    <s v="usa"/>
    <n v="30402"/>
    <x v="121"/>
    <n v="1"/>
    <x v="0"/>
    <s v="user167@example.com"/>
    <n v="6"/>
    <s v="user167@example.com"/>
  </r>
  <r>
    <s v="EMP1129"/>
    <s v="Bob Johnson"/>
    <s v="UNKNOWN"/>
    <s v="uk"/>
    <n v="62994"/>
    <x v="122"/>
    <n v="3"/>
    <x v="0"/>
    <s v="user175@example.com"/>
    <n v="30"/>
    <s v="user175@example.com"/>
  </r>
  <r>
    <s v="EMP1130"/>
    <s v="Alice Brown"/>
    <s v="SALES"/>
    <s v="india"/>
    <n v="48289"/>
    <x v="0"/>
    <n v="3"/>
    <x v="2"/>
    <s v="user25@example.com"/>
    <n v="0"/>
    <s v="user25@example.com"/>
  </r>
  <r>
    <s v="EMP1131"/>
    <s v="Sam Wilson"/>
    <s v="MARKETING"/>
    <s v="germany"/>
    <n v="34402"/>
    <x v="123"/>
    <n v="3"/>
    <x v="1"/>
    <s v="user42@example.com"/>
    <n v="15"/>
    <s v="user42@example.com"/>
  </r>
  <r>
    <s v="EMP1132"/>
    <s v="Eve Adams"/>
    <s v="HR"/>
    <s v="usa"/>
    <n v="38678"/>
    <x v="124"/>
    <n v="3"/>
    <x v="1"/>
    <s v="user188@example.com"/>
    <n v="8"/>
    <s v="user188@example.com"/>
  </r>
  <r>
    <s v="EMP1133"/>
    <s v="Chris Lee"/>
    <s v="HR"/>
    <s v="germany"/>
    <n v="45758"/>
    <x v="125"/>
    <n v="3"/>
    <x v="0"/>
    <s v="user44@example.com"/>
    <n v="1"/>
    <s v="user44@example.com"/>
  </r>
  <r>
    <s v="EMP1134"/>
    <s v="Eve Adams"/>
    <s v="MARKETING"/>
    <s v="india"/>
    <n v="62476"/>
    <x v="126"/>
    <n v="1"/>
    <x v="1"/>
    <s v="user63@example.com"/>
    <n v="25"/>
    <s v="user63@example.com"/>
  </r>
  <r>
    <s v="EMP1135"/>
    <s v="Unknown"/>
    <s v="IT"/>
    <s v="uk"/>
    <n v="39280"/>
    <x v="127"/>
    <n v="3"/>
    <x v="3"/>
    <s v="user198@example.com"/>
    <n v="18"/>
    <s v="user198@example.com"/>
  </r>
  <r>
    <s v="EMP1136"/>
    <s v="Jane Smith"/>
    <s v="FINANCE"/>
    <s v="india"/>
    <n v="60335"/>
    <x v="128"/>
    <n v="4"/>
    <x v="1"/>
    <s v="user59@example.com"/>
    <n v="11"/>
    <s v="user59@example.com"/>
  </r>
  <r>
    <s v="EMP1137"/>
    <s v="Chris Lee"/>
    <s v="HR"/>
    <s v="germany"/>
    <n v="84968"/>
    <x v="129"/>
    <n v="3"/>
    <x v="0"/>
    <s v="user165@example.com"/>
    <n v="4"/>
    <s v="user165@example.com"/>
  </r>
  <r>
    <s v="EMP1138"/>
    <s v="Chris Lee"/>
    <s v="MARKETING"/>
    <s v="australia"/>
    <n v="84750"/>
    <x v="130"/>
    <n v="4"/>
    <x v="3"/>
    <s v="user3@example.com"/>
    <n v="28"/>
    <s v="user3@example.com"/>
  </r>
  <r>
    <s v="EMP1139"/>
    <s v="Bob Johnson"/>
    <s v="IT"/>
    <s v="unknown"/>
    <n v="73348"/>
    <x v="131"/>
    <n v="2"/>
    <x v="0"/>
    <s v="user22@example.com"/>
    <n v="21"/>
    <s v="user22@example.com"/>
  </r>
  <r>
    <s v="EMP1140"/>
    <s v="Chris Lee"/>
    <s v="SALES"/>
    <s v="usa"/>
    <n v="67929"/>
    <x v="132"/>
    <n v="4"/>
    <x v="1"/>
    <s v="invalid_email"/>
    <n v="14"/>
    <s v="unknown"/>
  </r>
  <r>
    <s v="EMP1141"/>
    <s v="Jane Smith"/>
    <s v="MARKETING"/>
    <s v="usa"/>
    <n v="66882"/>
    <x v="133"/>
    <n v="5"/>
    <x v="1"/>
    <s v="user103@example.com"/>
    <n v="7"/>
    <s v="user103@example.com"/>
  </r>
  <r>
    <s v="EMP1142"/>
    <s v="Alice Brown"/>
    <s v="MARKETING"/>
    <s v="unknown"/>
    <n v="86775"/>
    <x v="134"/>
    <n v="3"/>
    <x v="1"/>
    <s v="user190@example.com"/>
    <n v="0"/>
    <s v="user190@example.com"/>
  </r>
  <r>
    <s v="EMP1143"/>
    <s v="Chris Lee"/>
    <s v="SALES"/>
    <s v="uk"/>
    <n v="91620"/>
    <x v="135"/>
    <n v="3"/>
    <x v="0"/>
    <s v="user114@example.com"/>
    <n v="23"/>
    <s v="user114@example.com"/>
  </r>
  <r>
    <s v="EMP1144"/>
    <s v="Eve Adams"/>
    <s v="UNKNOWN"/>
    <s v="unknown"/>
    <n v="94148"/>
    <x v="136"/>
    <n v="2"/>
    <x v="0"/>
    <s v="user53@example.com"/>
    <n v="16"/>
    <s v="user53@example.com"/>
  </r>
  <r>
    <s v="EMP1145"/>
    <s v="Sam Wilson"/>
    <s v="SALES"/>
    <s v="australia"/>
    <n v="35627"/>
    <x v="137"/>
    <n v="5"/>
    <x v="3"/>
    <s v="user188@example.com"/>
    <n v="9"/>
    <s v="user188@example.com"/>
  </r>
  <r>
    <s v="EMP1146"/>
    <s v="John Doe"/>
    <s v="MARKETING"/>
    <s v="usa"/>
    <n v="57141"/>
    <x v="138"/>
    <n v="2"/>
    <x v="0"/>
    <s v="user165@example.com"/>
    <n v="2"/>
    <s v="user165@example.com"/>
  </r>
  <r>
    <s v="EMP1147"/>
    <s v="Bob Johnson"/>
    <s v="SALES"/>
    <s v="australia"/>
    <n v="65270"/>
    <x v="139"/>
    <n v="1"/>
    <x v="0"/>
    <s v="user163@example.com"/>
    <n v="26"/>
    <s v="user163@example.com"/>
  </r>
  <r>
    <s v="EMP1148"/>
    <s v="Bob Johnson"/>
    <s v="UNKNOWN"/>
    <s v="uk"/>
    <n v="67335"/>
    <x v="140"/>
    <n v="1"/>
    <x v="1"/>
    <s v="user112@example.com"/>
    <n v="19"/>
    <s v="user112@example.com"/>
  </r>
  <r>
    <s v="EMP1149"/>
    <s v="Sam Wilson"/>
    <s v="MARKETING"/>
    <s v="india"/>
    <n v="98475"/>
    <x v="141"/>
    <n v="5"/>
    <x v="1"/>
    <s v="user30@example.com"/>
    <n v="12"/>
    <s v="user30@example.co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s v="FINANCE"/>
    <s v="unknown"/>
    <n v="65605"/>
    <s v="Unknown"/>
    <n v="2"/>
    <x v="0"/>
    <s v="invalid_email"/>
    <n v="0"/>
    <s v="unknown"/>
  </r>
  <r>
    <s v="EMP1001"/>
    <s v="Eve Adams"/>
    <s v="HR"/>
    <s v="germany"/>
    <n v="54255"/>
    <d v="2015-01-11T00:00:00"/>
    <n v="1"/>
    <x v="1"/>
    <s v="user106@example.com"/>
    <n v="13"/>
    <s v="user106@example.com"/>
  </r>
  <r>
    <s v="EMP1002"/>
    <s v="Alice Brown"/>
    <s v="FINANCE"/>
    <s v="germany"/>
    <n v="63184"/>
    <d v="2015-01-18T00:00:00"/>
    <n v="2"/>
    <x v="0"/>
    <s v="user176@example.com"/>
    <n v="6"/>
    <s v="user176@example.com"/>
  </r>
  <r>
    <s v="EMP1003"/>
    <s v="John Doe"/>
    <s v="SALES"/>
    <s v="usa"/>
    <n v="94406"/>
    <d v="2015-01-25T00:00:00"/>
    <n v="1"/>
    <x v="2"/>
    <s v="user168@example.com"/>
    <n v="30"/>
    <s v="user168@example.com"/>
  </r>
  <r>
    <s v="EMP1004"/>
    <s v="Jane Smith"/>
    <s v="SALES"/>
    <s v="germany"/>
    <n v="64120"/>
    <d v="2015-02-01T00:00:00"/>
    <n v="1"/>
    <x v="2"/>
    <s v="user49@example.com"/>
    <n v="23"/>
    <s v="user49@example.com"/>
  </r>
  <r>
    <s v="EMP1005"/>
    <s v="Alice Brown"/>
    <s v="IT"/>
    <s v="india"/>
    <n v="78421"/>
    <d v="2015-02-08T00:00:00"/>
    <n v="2"/>
    <x v="3"/>
    <s v="user24@example.com"/>
    <n v="16"/>
    <s v="user24@example.com"/>
  </r>
  <r>
    <s v="EMP1006"/>
    <s v="Sam Wilson"/>
    <s v="SALES"/>
    <s v="unknown"/>
    <n v="67721"/>
    <d v="2015-02-15T00:00:00"/>
    <n v="3"/>
    <x v="2"/>
    <s v="user168@example.com"/>
    <n v="9"/>
    <s v="user168@example.com"/>
  </r>
  <r>
    <s v="EMP1007"/>
    <s v="Chris Lee"/>
    <s v="MARKETING"/>
    <s v="unknown"/>
    <n v="35364"/>
    <d v="2015-02-22T00:00:00"/>
    <n v="2"/>
    <x v="1"/>
    <s v="user26@example.com"/>
    <n v="2"/>
    <s v="user26@example.com"/>
  </r>
  <r>
    <s v="EMP1008"/>
    <s v="Alice Brown"/>
    <s v="IT"/>
    <s v="germany"/>
    <n v="97881"/>
    <d v="2015-03-01T00:00:00"/>
    <n v="3"/>
    <x v="3"/>
    <s v="user25@example.com"/>
    <n v="23"/>
    <s v="user25@example.com"/>
  </r>
  <r>
    <s v="EMP1009"/>
    <s v="Chris Lee"/>
    <s v="HR"/>
    <s v="uk"/>
    <n v="91846"/>
    <d v="2015-03-08T00:00:00"/>
    <n v="3"/>
    <x v="2"/>
    <s v="user153@example.com"/>
    <n v="16"/>
    <s v="user153@example.com"/>
  </r>
  <r>
    <s v="EMP1010"/>
    <s v="Sam Wilson"/>
    <s v="FINANCE"/>
    <s v="uk"/>
    <n v="64247"/>
    <d v="2015-03-15T00:00:00"/>
    <n v="1"/>
    <x v="3"/>
    <s v="user18@example.com"/>
    <n v="9"/>
    <s v="user18@example.com"/>
  </r>
  <r>
    <s v="EMP1011"/>
    <s v="Sam Wilson"/>
    <s v="IT"/>
    <s v="usa"/>
    <n v="91180"/>
    <d v="2015-03-22T00:00:00"/>
    <n v="5"/>
    <x v="2"/>
    <s v="user1@example.com"/>
    <n v="2"/>
    <s v="user1@example.com"/>
  </r>
  <r>
    <s v="EMP1012"/>
    <s v="Bob Johnson"/>
    <s v="SALES"/>
    <s v="unknown"/>
    <n v="96418"/>
    <d v="2015-03-29T00:00:00"/>
    <n v="5"/>
    <x v="2"/>
    <s v="user106@example.com"/>
    <n v="26"/>
    <s v="user106@example.com"/>
  </r>
  <r>
    <s v="EMP1013"/>
    <s v="Sam Wilson"/>
    <s v="UNKNOWN"/>
    <s v="india"/>
    <n v="62158"/>
    <d v="2015-04-05T00:00:00"/>
    <n v="4"/>
    <x v="0"/>
    <s v="user180@example.com"/>
    <n v="19"/>
    <s v="user180@example.com"/>
  </r>
  <r>
    <s v="EMP1014"/>
    <s v="Jane Smith"/>
    <s v="HR"/>
    <s v="unknown"/>
    <n v="59894"/>
    <d v="2015-04-12T00:00:00"/>
    <n v="2"/>
    <x v="2"/>
    <s v="user184@example.com"/>
    <n v="12"/>
    <s v="user184@example.com"/>
  </r>
  <r>
    <s v="EMP1015"/>
    <s v="Unknown"/>
    <s v="IT"/>
    <s v="india"/>
    <n v="92443"/>
    <d v="2015-04-19T00:00:00"/>
    <n v="3"/>
    <x v="1"/>
    <s v="user3@example.com"/>
    <n v="5"/>
    <s v="user3@example.com"/>
  </r>
  <r>
    <s v="EMP1016"/>
    <s v="Bob Johnson"/>
    <s v="UNKNOWN"/>
    <s v="germany"/>
    <n v="90271"/>
    <d v="2015-04-26T00:00:00"/>
    <n v="3"/>
    <x v="0"/>
    <s v="user64@example.com"/>
    <n v="29"/>
    <s v="user64@example.com"/>
  </r>
  <r>
    <s v="EMP1017"/>
    <s v="Jane Smith"/>
    <s v="FINANCE"/>
    <s v="australia"/>
    <n v="41341"/>
    <d v="2015-05-03T00:00:00"/>
    <n v="1"/>
    <x v="1"/>
    <s v="user38@example.com"/>
    <n v="21"/>
    <s v="user38@example.com"/>
  </r>
  <r>
    <s v="EMP1018"/>
    <s v="Alice Brown"/>
    <s v="FINANCE"/>
    <s v="uk"/>
    <n v="73602"/>
    <d v="2015-05-10T00:00:00"/>
    <n v="3"/>
    <x v="0"/>
    <s v="user96@example.com"/>
    <n v="14"/>
    <s v="user96@example.com"/>
  </r>
  <r>
    <s v="EMP1019"/>
    <s v="Eve Adams"/>
    <s v="UNKNOWN"/>
    <s v="india"/>
    <n v="67531"/>
    <d v="2015-05-17T00:00:00"/>
    <n v="5"/>
    <x v="3"/>
    <s v="user151@example.com"/>
    <n v="7"/>
    <s v="user151@example.com"/>
  </r>
  <r>
    <s v="EMP1020"/>
    <s v="Jane Smith"/>
    <s v="HR"/>
    <s v="usa"/>
    <n v="67835"/>
    <d v="2015-05-24T00:00:00"/>
    <n v="2"/>
    <x v="1"/>
    <s v="user200@example.com"/>
    <n v="0"/>
    <s v="user200@example.com"/>
  </r>
  <r>
    <s v="EMP1021"/>
    <s v="Jane Smith"/>
    <s v="HR"/>
    <s v="unknown"/>
    <n v="98922"/>
    <d v="2015-05-31T00:00:00"/>
    <n v="4"/>
    <x v="0"/>
    <s v="user77@example.com"/>
    <n v="24"/>
    <s v="user77@example.com"/>
  </r>
  <r>
    <s v="EMP1022"/>
    <s v="Eve Adams"/>
    <s v="FINANCE"/>
    <s v="india"/>
    <n v="38333"/>
    <d v="2015-06-07T00:00:00"/>
    <n v="5"/>
    <x v="0"/>
    <s v="user128@example.com"/>
    <n v="17"/>
    <s v="user128@example.com"/>
  </r>
  <r>
    <s v="EMP1023"/>
    <s v="Alice Brown"/>
    <s v="MARKETING"/>
    <s v="uk"/>
    <n v="36515"/>
    <d v="2015-06-14T00:00:00"/>
    <n v="3"/>
    <x v="2"/>
    <s v="user149@example.com"/>
    <n v="10"/>
    <s v="user149@example.com"/>
  </r>
  <r>
    <s v="EMP1024"/>
    <s v="Sam Wilson"/>
    <s v="FINANCE"/>
    <s v="unknown"/>
    <n v="91005"/>
    <d v="2015-06-21T00:00:00"/>
    <n v="1"/>
    <x v="1"/>
    <s v="user122@example.com"/>
    <n v="3"/>
    <s v="user122@example.com"/>
  </r>
  <r>
    <s v="EMP1025"/>
    <s v="Chris Lee"/>
    <s v="UNKNOWN"/>
    <s v="unknown"/>
    <n v="52272"/>
    <d v="2015-06-28T00:00:00"/>
    <n v="3"/>
    <x v="0"/>
    <s v="user41@example.com"/>
    <n v="27"/>
    <s v="user41@example.com"/>
  </r>
  <r>
    <s v="EMP1026"/>
    <s v="Eve Adams"/>
    <s v="SALES"/>
    <s v="germany"/>
    <n v="76518"/>
    <d v="2015-07-05T00:00:00"/>
    <n v="2"/>
    <x v="3"/>
    <s v="user68@example.com"/>
    <n v="19"/>
    <s v="user68@example.com"/>
  </r>
  <r>
    <s v="EMP1027"/>
    <s v="Alice Brown"/>
    <s v="IT"/>
    <s v="uk"/>
    <n v="41448"/>
    <d v="2015-07-12T00:00:00"/>
    <n v="3"/>
    <x v="1"/>
    <s v="user103@example.com"/>
    <n v="12"/>
    <s v="user103@example.com"/>
  </r>
  <r>
    <s v="EMP1028"/>
    <s v="John Doe"/>
    <s v="HR"/>
    <s v="uk"/>
    <n v="49282"/>
    <d v="2015-07-19T00:00:00"/>
    <n v="2"/>
    <x v="3"/>
    <s v="user135@example.com"/>
    <n v="5"/>
    <s v="user135@example.com"/>
  </r>
  <r>
    <s v="EMP1029"/>
    <s v="Bob Johnson"/>
    <s v="MARKETING"/>
    <s v="uk"/>
    <n v="92959"/>
    <d v="2015-07-26T00:00:00"/>
    <n v="5"/>
    <x v="0"/>
    <s v="user83@example.com"/>
    <n v="29"/>
    <s v="user83@example.com"/>
  </r>
  <r>
    <s v="EMP1030"/>
    <s v="Unknown"/>
    <s v="MARKETING"/>
    <s v="unknown"/>
    <n v="92259"/>
    <s v="Unknown"/>
    <n v="1"/>
    <x v="0"/>
    <s v="user109@example.com"/>
    <n v="0"/>
    <s v="user109@example.com"/>
  </r>
  <r>
    <s v="EMP1031"/>
    <s v="Eve Adams"/>
    <s v="HR"/>
    <s v="germany"/>
    <n v="92299"/>
    <d v="2015-08-09T00:00:00"/>
    <n v="3"/>
    <x v="2"/>
    <s v="user143@example.com"/>
    <n v="15"/>
    <s v="user143@example.com"/>
  </r>
  <r>
    <s v="EMP1032"/>
    <s v="Sam Wilson"/>
    <s v="HR"/>
    <s v="unknown"/>
    <n v="95586"/>
    <d v="2015-08-16T00:00:00"/>
    <n v="3"/>
    <x v="1"/>
    <s v="user190@example.com"/>
    <n v="8"/>
    <s v="user190@example.com"/>
  </r>
  <r>
    <s v="EMP1033"/>
    <s v="Chris Lee"/>
    <s v="UNKNOWN"/>
    <s v="usa"/>
    <n v="95367"/>
    <d v="2015-08-23T00:00:00"/>
    <n v="3"/>
    <x v="2"/>
    <s v="user136@example.com"/>
    <n v="1"/>
    <s v="user136@example.com"/>
  </r>
  <r>
    <s v="EMP1034"/>
    <s v="John Doe"/>
    <s v="SALES"/>
    <s v="australia"/>
    <n v="79549"/>
    <d v="2015-08-30T00:00:00"/>
    <n v="3"/>
    <x v="0"/>
    <s v="user198@example.com"/>
    <n v="25"/>
    <s v="user198@example.com"/>
  </r>
  <r>
    <s v="EMP1035"/>
    <s v="Alice Brown"/>
    <s v="UNKNOWN"/>
    <s v="uk"/>
    <n v="54463"/>
    <d v="2015-09-06T00:00:00"/>
    <n v="4"/>
    <x v="2"/>
    <s v="invalid_email"/>
    <n v="18"/>
    <s v="unknown"/>
  </r>
  <r>
    <s v="EMP1036"/>
    <s v="Alice Brown"/>
    <s v="IT"/>
    <s v="usa"/>
    <n v="89781"/>
    <d v="2015-09-13T00:00:00"/>
    <n v="3"/>
    <x v="3"/>
    <s v="user31@example.com"/>
    <n v="11"/>
    <s v="user31@example.com"/>
  </r>
  <r>
    <s v="EMP1037"/>
    <s v="Alice Brown"/>
    <s v="HR"/>
    <s v="unknown"/>
    <n v="64796"/>
    <d v="2015-09-20T00:00:00"/>
    <n v="3"/>
    <x v="1"/>
    <s v="user98@example.com"/>
    <n v="4"/>
    <s v="user98@example.com"/>
  </r>
  <r>
    <s v="EMP1038"/>
    <s v="John Doe"/>
    <s v="MARKETING"/>
    <s v="uk"/>
    <n v="52093"/>
    <d v="2015-09-27T00:00:00"/>
    <n v="5"/>
    <x v="0"/>
    <s v="user154@example.com"/>
    <n v="28"/>
    <s v="user154@example.com"/>
  </r>
  <r>
    <s v="EMP1039"/>
    <s v="Chris Lee"/>
    <s v="HR"/>
    <s v="uk"/>
    <n v="48224"/>
    <d v="2015-10-04T00:00:00"/>
    <n v="3"/>
    <x v="0"/>
    <s v="user42@example.com"/>
    <n v="20"/>
    <s v="user42@example.com"/>
  </r>
  <r>
    <s v="EMP1040"/>
    <s v="Bob Johnson"/>
    <s v="FINANCE"/>
    <s v="uk"/>
    <n v="65605"/>
    <s v="Unknown"/>
    <n v="4"/>
    <x v="3"/>
    <s v="user89@example.com"/>
    <n v="0"/>
    <s v="user89@example.com"/>
  </r>
  <r>
    <s v="EMP1041"/>
    <s v="Alice Brown"/>
    <s v="IT"/>
    <s v="germany"/>
    <n v="33956"/>
    <d v="2015-10-18T00:00:00"/>
    <n v="3"/>
    <x v="0"/>
    <s v="user47@example.com"/>
    <n v="6"/>
    <s v="user47@example.com"/>
  </r>
  <r>
    <s v="EMP1042"/>
    <s v="Bob Johnson"/>
    <s v="UNKNOWN"/>
    <s v="australia"/>
    <n v="64913"/>
    <d v="2015-10-25T00:00:00"/>
    <n v="1"/>
    <x v="3"/>
    <s v="user175@example.com"/>
    <n v="30"/>
    <s v="user175@example.com"/>
  </r>
  <r>
    <s v="EMP1043"/>
    <s v="Alice Brown"/>
    <s v="MARKETING"/>
    <s v="australia"/>
    <n v="35326"/>
    <d v="2015-11-01T00:00:00"/>
    <n v="3"/>
    <x v="3"/>
    <s v="user57@example.com"/>
    <n v="23"/>
    <s v="user57@example.com"/>
  </r>
  <r>
    <s v="EMP1044"/>
    <s v="Chris Lee"/>
    <s v="FINANCE"/>
    <s v="unknown"/>
    <n v="81610"/>
    <d v="2015-11-08T00:00:00"/>
    <n v="1"/>
    <x v="0"/>
    <s v="user20@example.com"/>
    <n v="16"/>
    <s v="user20@example.com"/>
  </r>
  <r>
    <s v="EMP1045"/>
    <s v="Unknown"/>
    <s v="HR"/>
    <s v="unknown"/>
    <n v="58962"/>
    <d v="2015-11-15T00:00:00"/>
    <n v="3"/>
    <x v="1"/>
    <s v="user106@example.com"/>
    <n v="9"/>
    <s v="user106@example.com"/>
  </r>
  <r>
    <s v="EMP1046"/>
    <s v="Chris Lee"/>
    <s v="IT"/>
    <s v="germany"/>
    <n v="92701"/>
    <d v="2015-11-22T00:00:00"/>
    <n v="3"/>
    <x v="1"/>
    <s v="user199@example.com"/>
    <n v="2"/>
    <s v="user199@example.com"/>
  </r>
  <r>
    <s v="EMP1047"/>
    <s v="Chris Lee"/>
    <s v="HR"/>
    <s v="india"/>
    <n v="58245"/>
    <d v="2015-11-29T00:00:00"/>
    <n v="4"/>
    <x v="0"/>
    <s v="user43@example.com"/>
    <n v="26"/>
    <s v="user43@example.com"/>
  </r>
  <r>
    <s v="EMP1048"/>
    <s v="John Doe"/>
    <s v="FINANCE"/>
    <s v="unknown"/>
    <n v="66513"/>
    <d v="2015-12-06T00:00:00"/>
    <n v="2"/>
    <x v="1"/>
    <s v="user24@example.com"/>
    <n v="18"/>
    <s v="user24@example.com"/>
  </r>
  <r>
    <s v="EMP1049"/>
    <s v="Eve Adams"/>
    <s v="HR"/>
    <s v="germany"/>
    <n v="78720"/>
    <d v="2015-12-13T00:00:00"/>
    <n v="5"/>
    <x v="3"/>
    <s v="user89@example.com"/>
    <n v="11"/>
    <s v="user89@example.com"/>
  </r>
  <r>
    <s v="EMP1050"/>
    <s v="Chris Lee"/>
    <s v="UNKNOWN"/>
    <s v="unknown"/>
    <n v="30686"/>
    <s v="Unknown"/>
    <n v="2"/>
    <x v="3"/>
    <s v="user95@example.com"/>
    <n v="0"/>
    <s v="user95@example.com"/>
  </r>
  <r>
    <s v="EMP1051"/>
    <s v="Sam Wilson"/>
    <s v="SALES"/>
    <s v="india"/>
    <n v="39423"/>
    <d v="2015-12-27T00:00:00"/>
    <n v="5"/>
    <x v="0"/>
    <s v="user59@example.com"/>
    <n v="28"/>
    <s v="user59@example.com"/>
  </r>
  <r>
    <s v="EMP1052"/>
    <s v="Eve Adams"/>
    <s v="MARKETING"/>
    <s v="unknown"/>
    <n v="30280"/>
    <d v="2016-01-03T00:00:00"/>
    <n v="1"/>
    <x v="0"/>
    <s v="user152@example.com"/>
    <n v="21"/>
    <s v="user152@example.com"/>
  </r>
  <r>
    <s v="EMP1053"/>
    <s v="Eve Adams"/>
    <s v="FINANCE"/>
    <s v="uk"/>
    <n v="33352"/>
    <d v="2016-01-10T00:00:00"/>
    <n v="3"/>
    <x v="3"/>
    <s v="user200@example.com"/>
    <n v="14"/>
    <s v="user200@example.com"/>
  </r>
  <r>
    <s v="EMP1054"/>
    <s v="Bob Johnson"/>
    <s v="MARKETING"/>
    <s v="uk"/>
    <n v="75633"/>
    <d v="2016-01-17T00:00:00"/>
    <n v="5"/>
    <x v="1"/>
    <s v="user92@example.com"/>
    <n v="7"/>
    <s v="user92@example.com"/>
  </r>
  <r>
    <s v="EMP1055"/>
    <s v="Chris Lee"/>
    <s v="UNKNOWN"/>
    <s v="usa"/>
    <n v="74815"/>
    <d v="2016-01-24T00:00:00"/>
    <n v="5"/>
    <x v="3"/>
    <s v="user50@example.com"/>
    <n v="0"/>
    <s v="user50@example.com"/>
  </r>
  <r>
    <s v="EMP1056"/>
    <s v="John Doe"/>
    <s v="SALES"/>
    <s v="australia"/>
    <n v="60011"/>
    <d v="2016-01-31T00:00:00"/>
    <n v="1"/>
    <x v="2"/>
    <s v="user63@example.com"/>
    <n v="24"/>
    <s v="user63@example.com"/>
  </r>
  <r>
    <s v="EMP1057"/>
    <s v="Eve Adams"/>
    <s v="UNKNOWN"/>
    <s v="india"/>
    <n v="96949"/>
    <d v="2016-02-07T00:00:00"/>
    <n v="3"/>
    <x v="0"/>
    <s v="user103@example.com"/>
    <n v="17"/>
    <s v="user103@example.com"/>
  </r>
  <r>
    <s v="EMP1058"/>
    <s v="Sam Wilson"/>
    <s v="MARKETING"/>
    <s v="unknown"/>
    <n v="84924"/>
    <d v="2016-02-14T00:00:00"/>
    <n v="5"/>
    <x v="2"/>
    <s v="user150@example.com"/>
    <n v="10"/>
    <s v="user150@example.com"/>
  </r>
  <r>
    <s v="EMP1059"/>
    <s v="Sam Wilson"/>
    <s v="FINANCE"/>
    <s v="usa"/>
    <n v="82033"/>
    <d v="2016-02-21T00:00:00"/>
    <n v="1"/>
    <x v="0"/>
    <s v="user20@example.com"/>
    <n v="3"/>
    <s v="user20@example.com"/>
  </r>
  <r>
    <s v="EMP1060"/>
    <s v="Unknown"/>
    <s v="MARKETING"/>
    <s v="germany"/>
    <n v="63687"/>
    <s v="Unknown"/>
    <n v="5"/>
    <x v="0"/>
    <s v="user112@example.com"/>
    <n v="0"/>
    <s v="user112@example.com"/>
  </r>
  <r>
    <s v="EMP1061"/>
    <s v="Eve Adams"/>
    <s v="UNKNOWN"/>
    <s v="australia"/>
    <n v="31499"/>
    <d v="2016-03-06T00:00:00"/>
    <n v="2"/>
    <x v="0"/>
    <s v="user31@example.com"/>
    <n v="18"/>
    <s v="user31@example.com"/>
  </r>
  <r>
    <s v="EMP1062"/>
    <s v="Chris Lee"/>
    <s v="IT"/>
    <s v="uk"/>
    <n v="97981"/>
    <d v="2016-03-13T00:00:00"/>
    <n v="5"/>
    <x v="3"/>
    <s v="user71@example.com"/>
    <n v="11"/>
    <s v="user71@example.com"/>
  </r>
  <r>
    <s v="EMP1063"/>
    <s v="Eve Adams"/>
    <s v="HR"/>
    <s v="usa"/>
    <n v="36541"/>
    <d v="2016-03-20T00:00:00"/>
    <n v="2"/>
    <x v="1"/>
    <s v="user97@example.com"/>
    <n v="4"/>
    <s v="user97@example.com"/>
  </r>
  <r>
    <s v="EMP1064"/>
    <s v="John Doe"/>
    <s v="IT"/>
    <s v="india"/>
    <n v="84737"/>
    <d v="2016-03-27T00:00:00"/>
    <n v="1"/>
    <x v="2"/>
    <s v="user141@example.com"/>
    <n v="28"/>
    <s v="user141@example.com"/>
  </r>
  <r>
    <s v="EMP1065"/>
    <s v="Sam Wilson"/>
    <s v="FINANCE"/>
    <s v="india"/>
    <n v="33468"/>
    <d v="2016-04-03T00:00:00"/>
    <n v="4"/>
    <x v="2"/>
    <s v="user125@example.com"/>
    <n v="21"/>
    <s v="user125@example.com"/>
  </r>
  <r>
    <s v="EMP1066"/>
    <s v="Sam Wilson"/>
    <s v="UNKNOWN"/>
    <s v="australia"/>
    <n v="96365"/>
    <d v="2016-04-10T00:00:00"/>
    <n v="3"/>
    <x v="1"/>
    <s v="user90@example.com"/>
    <n v="14"/>
    <s v="user90@example.com"/>
  </r>
  <r>
    <s v="EMP1067"/>
    <s v="Alice Brown"/>
    <s v="SALES"/>
    <s v="india"/>
    <n v="61942"/>
    <d v="2016-04-17T00:00:00"/>
    <n v="3"/>
    <x v="3"/>
    <s v="user192@example.com"/>
    <n v="7"/>
    <s v="user192@example.com"/>
  </r>
  <r>
    <s v="EMP1068"/>
    <s v="Sam Wilson"/>
    <s v="FINANCE"/>
    <s v="uk"/>
    <n v="41467"/>
    <d v="2016-04-24T00:00:00"/>
    <n v="2"/>
    <x v="0"/>
    <s v="user77@example.com"/>
    <n v="0"/>
    <s v="user77@example.com"/>
  </r>
  <r>
    <s v="EMP1069"/>
    <s v="Bob Johnson"/>
    <s v="FINANCE"/>
    <s v="india"/>
    <n v="77096"/>
    <d v="2016-05-01T00:00:00"/>
    <n v="1"/>
    <x v="0"/>
    <s v="user65@example.com"/>
    <n v="23"/>
    <s v="user65@example.com"/>
  </r>
  <r>
    <s v="EMP1070"/>
    <s v="Eve Adams"/>
    <s v="SALES"/>
    <s v="australia"/>
    <n v="69952"/>
    <d v="2016-05-08T00:00:00"/>
    <n v="5"/>
    <x v="3"/>
    <s v="invalid_email"/>
    <n v="16"/>
    <s v="unknown"/>
  </r>
  <r>
    <s v="EMP1071"/>
    <s v="Eve Adams"/>
    <s v="MARKETING"/>
    <s v="usa"/>
    <n v="85065"/>
    <d v="2016-05-15T00:00:00"/>
    <n v="3"/>
    <x v="0"/>
    <s v="user142@example.com"/>
    <n v="9"/>
    <s v="user142@example.com"/>
  </r>
  <r>
    <s v="EMP1072"/>
    <s v="Bob Johnson"/>
    <s v="MARKETING"/>
    <s v="india"/>
    <n v="56512"/>
    <d v="2016-05-22T00:00:00"/>
    <n v="3"/>
    <x v="1"/>
    <s v="user153@example.com"/>
    <n v="2"/>
    <s v="user153@example.com"/>
  </r>
  <r>
    <s v="EMP1073"/>
    <s v="John Doe"/>
    <s v="SALES"/>
    <s v="india"/>
    <n v="91101"/>
    <d v="2016-05-29T00:00:00"/>
    <n v="4"/>
    <x v="3"/>
    <s v="user71@example.com"/>
    <n v="26"/>
    <s v="user71@example.com"/>
  </r>
  <r>
    <s v="EMP1074"/>
    <s v="Sam Wilson"/>
    <s v="UNKNOWN"/>
    <s v="germany"/>
    <n v="41243"/>
    <d v="2016-06-05T00:00:00"/>
    <n v="3"/>
    <x v="0"/>
    <s v="user143@example.com"/>
    <n v="19"/>
    <s v="user143@example.com"/>
  </r>
  <r>
    <s v="EMP1075"/>
    <s v="Unknown"/>
    <s v="SALES"/>
    <s v="unknown"/>
    <n v="96142"/>
    <d v="2016-06-12T00:00:00"/>
    <n v="1"/>
    <x v="1"/>
    <s v="user17@example.com"/>
    <n v="12"/>
    <s v="user17@example.com"/>
  </r>
  <r>
    <s v="EMP1076"/>
    <s v="Eve Adams"/>
    <s v="IT"/>
    <s v="india"/>
    <n v="94301"/>
    <d v="2016-06-19T00:00:00"/>
    <n v="1"/>
    <x v="2"/>
    <s v="user20@example.com"/>
    <n v="5"/>
    <s v="user20@example.com"/>
  </r>
  <r>
    <s v="EMP1077"/>
    <s v="Jane Smith"/>
    <s v="UNKNOWN"/>
    <s v="uk"/>
    <n v="69166"/>
    <d v="2016-06-26T00:00:00"/>
    <n v="1"/>
    <x v="3"/>
    <s v="user22@example.com"/>
    <n v="29"/>
    <s v="user22@example.com"/>
  </r>
  <r>
    <s v="EMP1078"/>
    <s v="Sam Wilson"/>
    <s v="UNKNOWN"/>
    <s v="uk"/>
    <n v="78245"/>
    <d v="2016-07-03T00:00:00"/>
    <n v="2"/>
    <x v="0"/>
    <s v="user46@example.com"/>
    <n v="21"/>
    <s v="user46@example.com"/>
  </r>
  <r>
    <s v="EMP1079"/>
    <s v="Chris Lee"/>
    <s v="SALES"/>
    <s v="usa"/>
    <n v="66079"/>
    <d v="2016-07-10T00:00:00"/>
    <n v="2"/>
    <x v="1"/>
    <s v="user55@example.com"/>
    <n v="14"/>
    <s v="user55@example.com"/>
  </r>
  <r>
    <s v="EMP1080"/>
    <s v="Eve Adams"/>
    <s v="MARKETING"/>
    <s v="india"/>
    <n v="63687"/>
    <s v="Unknown"/>
    <n v="3"/>
    <x v="0"/>
    <s v="user135@example.com"/>
    <n v="0"/>
    <s v="user135@example.com"/>
  </r>
  <r>
    <s v="EMP1081"/>
    <s v="Jane Smith"/>
    <s v="SALES"/>
    <s v="usa"/>
    <n v="95621"/>
    <d v="2016-07-24T00:00:00"/>
    <n v="3"/>
    <x v="3"/>
    <s v="user156@example.com"/>
    <n v="0"/>
    <s v="user156@example.com"/>
  </r>
  <r>
    <s v="EMP1082"/>
    <s v="Eve Adams"/>
    <s v="IT"/>
    <s v="uk"/>
    <n v="42262"/>
    <d v="2016-07-31T00:00:00"/>
    <n v="1"/>
    <x v="0"/>
    <s v="user104@example.com"/>
    <n v="24"/>
    <s v="user104@example.com"/>
  </r>
  <r>
    <s v="EMP1083"/>
    <s v="Sam Wilson"/>
    <s v="SALES"/>
    <s v="india"/>
    <n v="99621"/>
    <d v="2016-08-07T00:00:00"/>
    <n v="3"/>
    <x v="1"/>
    <s v="user145@example.com"/>
    <n v="17"/>
    <s v="user145@example.com"/>
  </r>
  <r>
    <s v="EMP1084"/>
    <s v="John Doe"/>
    <s v="MARKETING"/>
    <s v="india"/>
    <n v="44682"/>
    <d v="2016-08-14T00:00:00"/>
    <n v="4"/>
    <x v="3"/>
    <s v="user47@example.com"/>
    <n v="10"/>
    <s v="user47@example.com"/>
  </r>
  <r>
    <s v="EMP1085"/>
    <s v="Chris Lee"/>
    <s v="FINANCE"/>
    <s v="unknown"/>
    <n v="35163"/>
    <d v="2016-08-21T00:00:00"/>
    <n v="5"/>
    <x v="1"/>
    <s v="user197@example.com"/>
    <n v="3"/>
    <s v="user197@example.com"/>
  </r>
  <r>
    <s v="EMP1086"/>
    <s v="Chris Lee"/>
    <s v="IT"/>
    <s v="india"/>
    <n v="33483"/>
    <d v="2016-08-28T00:00:00"/>
    <n v="4"/>
    <x v="2"/>
    <s v="user177@example.com"/>
    <n v="27"/>
    <s v="user177@example.com"/>
  </r>
  <r>
    <s v="EMP1087"/>
    <s v="Sam Wilson"/>
    <s v="HR"/>
    <s v="germany"/>
    <n v="55303"/>
    <d v="2016-09-04T00:00:00"/>
    <n v="4"/>
    <x v="2"/>
    <s v="user149@example.com"/>
    <n v="20"/>
    <s v="user149@example.com"/>
  </r>
  <r>
    <s v="EMP1088"/>
    <s v="Chris Lee"/>
    <s v="IT"/>
    <s v="unknown"/>
    <n v="63434"/>
    <d v="2016-09-11T00:00:00"/>
    <n v="3"/>
    <x v="0"/>
    <s v="user48@example.com"/>
    <n v="13"/>
    <s v="user48@example.com"/>
  </r>
  <r>
    <s v="EMP1089"/>
    <s v="Jane Smith"/>
    <s v="UNKNOWN"/>
    <s v="australia"/>
    <n v="38830"/>
    <d v="2016-09-18T00:00:00"/>
    <n v="3"/>
    <x v="1"/>
    <s v="user149@example.com"/>
    <n v="6"/>
    <s v="user149@example.com"/>
  </r>
  <r>
    <s v="EMP1090"/>
    <s v="Unknown"/>
    <s v="MARKETING"/>
    <s v="uk"/>
    <n v="50741"/>
    <d v="2016-09-25T00:00:00"/>
    <n v="3"/>
    <x v="0"/>
    <s v="user65@example.com"/>
    <n v="30"/>
    <s v="user65@example.com"/>
  </r>
  <r>
    <s v="EMP1091"/>
    <s v="Alice Brown"/>
    <s v="HR"/>
    <s v="australia"/>
    <n v="69420"/>
    <d v="2016-10-02T00:00:00"/>
    <n v="1"/>
    <x v="2"/>
    <s v="user43@example.com"/>
    <n v="22"/>
    <s v="user43@example.com"/>
  </r>
  <r>
    <s v="EMP1092"/>
    <s v="Jane Smith"/>
    <s v="IT"/>
    <s v="unknown"/>
    <n v="80588"/>
    <d v="2016-10-09T00:00:00"/>
    <n v="5"/>
    <x v="2"/>
    <s v="user98@example.com"/>
    <n v="15"/>
    <s v="user98@example.com"/>
  </r>
  <r>
    <s v="EMP1093"/>
    <s v="Alice Brown"/>
    <s v="UNKNOWN"/>
    <s v="usa"/>
    <n v="76238"/>
    <d v="2016-10-16T00:00:00"/>
    <n v="4"/>
    <x v="2"/>
    <s v="user102@example.com"/>
    <n v="8"/>
    <s v="user102@example.com"/>
  </r>
  <r>
    <s v="EMP1094"/>
    <s v="Bob Johnson"/>
    <s v="IT"/>
    <s v="india"/>
    <n v="33264"/>
    <d v="2016-10-23T00:00:00"/>
    <n v="3"/>
    <x v="3"/>
    <s v="user148@example.com"/>
    <n v="1"/>
    <s v="user148@example.com"/>
  </r>
  <r>
    <s v="EMP1095"/>
    <s v="Alice Brown"/>
    <s v="FINANCE"/>
    <s v="australia"/>
    <n v="96101"/>
    <d v="2016-10-30T00:00:00"/>
    <n v="3"/>
    <x v="1"/>
    <s v="user155@example.com"/>
    <n v="25"/>
    <s v="user155@example.com"/>
  </r>
  <r>
    <s v="EMP1096"/>
    <s v="Jane Smith"/>
    <s v="FINANCE"/>
    <s v="usa"/>
    <n v="72939"/>
    <d v="2016-11-06T00:00:00"/>
    <n v="3"/>
    <x v="0"/>
    <s v="user191@example.com"/>
    <n v="18"/>
    <s v="user191@example.com"/>
  </r>
  <r>
    <s v="EMP1097"/>
    <s v="Sam Wilson"/>
    <s v="HR"/>
    <s v="germany"/>
    <n v="89333"/>
    <d v="2016-11-13T00:00:00"/>
    <n v="1"/>
    <x v="2"/>
    <s v="user113@example.com"/>
    <n v="11"/>
    <s v="user113@example.com"/>
  </r>
  <r>
    <s v="EMP1098"/>
    <s v="Bob Johnson"/>
    <s v="IT"/>
    <s v="australia"/>
    <n v="70470"/>
    <d v="2016-11-20T00:00:00"/>
    <n v="3"/>
    <x v="2"/>
    <s v="user62@example.com"/>
    <n v="4"/>
    <s v="user62@example.com"/>
  </r>
  <r>
    <s v="EMP1099"/>
    <s v="Eve Adams"/>
    <s v="MARKETING"/>
    <s v="usa"/>
    <n v="70096"/>
    <d v="2016-11-27T00:00:00"/>
    <n v="4"/>
    <x v="2"/>
    <s v="user76@example.com"/>
    <n v="28"/>
    <s v="user76@example.com"/>
  </r>
  <r>
    <s v="EMP1100"/>
    <s v="Bob Johnson"/>
    <s v="MARKETING"/>
    <s v="unknown"/>
    <n v="63687"/>
    <d v="2016-12-04T00:00:00"/>
    <n v="2"/>
    <x v="1"/>
    <s v="user40@example.com"/>
    <n v="20"/>
    <s v="user40@example.com"/>
  </r>
  <r>
    <s v="EMP1101"/>
    <s v="Bob Johnson"/>
    <s v="IT"/>
    <s v="germany"/>
    <n v="66503"/>
    <d v="2016-12-11T00:00:00"/>
    <n v="3"/>
    <x v="2"/>
    <s v="user200@example.com"/>
    <n v="13"/>
    <s v="user200@example.com"/>
  </r>
  <r>
    <s v="EMP1102"/>
    <s v="Alice Brown"/>
    <s v="HR"/>
    <s v="germany"/>
    <n v="42096"/>
    <d v="2016-12-18T00:00:00"/>
    <n v="3"/>
    <x v="3"/>
    <s v="user54@example.com"/>
    <n v="6"/>
    <s v="user54@example.com"/>
  </r>
  <r>
    <s v="EMP1103"/>
    <s v="Alice Brown"/>
    <s v="MARKETING"/>
    <s v="unknown"/>
    <n v="79145"/>
    <d v="2016-12-25T00:00:00"/>
    <n v="5"/>
    <x v="1"/>
    <s v="user20@example.com"/>
    <n v="30"/>
    <s v="user20@example.com"/>
  </r>
  <r>
    <s v="EMP1104"/>
    <s v="Jane Smith"/>
    <s v="UNKNOWN"/>
    <s v="australia"/>
    <n v="61556"/>
    <d v="2017-01-01T00:00:00"/>
    <n v="1"/>
    <x v="0"/>
    <s v="user40@example.com"/>
    <n v="23"/>
    <s v="user40@example.com"/>
  </r>
  <r>
    <s v="EMP1105"/>
    <s v="Unknown"/>
    <s v="HR"/>
    <s v="uk"/>
    <n v="87963"/>
    <d v="2017-01-08T00:00:00"/>
    <n v="3"/>
    <x v="1"/>
    <s v="invalid_email"/>
    <n v="16"/>
    <s v="unknown"/>
  </r>
  <r>
    <s v="EMP1106"/>
    <s v="Eve Adams"/>
    <s v="IT"/>
    <s v="unknown"/>
    <n v="48325"/>
    <d v="2017-01-15T00:00:00"/>
    <n v="3"/>
    <x v="2"/>
    <s v="user189@example.com"/>
    <n v="9"/>
    <s v="user189@example.com"/>
  </r>
  <r>
    <s v="EMP1107"/>
    <s v="Sam Wilson"/>
    <s v="MARKETING"/>
    <s v="australia"/>
    <n v="86412"/>
    <d v="2017-01-22T00:00:00"/>
    <n v="2"/>
    <x v="3"/>
    <s v="user128@example.com"/>
    <n v="2"/>
    <s v="user128@example.com"/>
  </r>
  <r>
    <s v="EMP1108"/>
    <s v="Sam Wilson"/>
    <s v="HR"/>
    <s v="unknown"/>
    <n v="66761"/>
    <d v="2017-01-29T00:00:00"/>
    <n v="1"/>
    <x v="0"/>
    <s v="user93@example.com"/>
    <n v="26"/>
    <s v="user93@example.com"/>
  </r>
  <r>
    <s v="EMP1109"/>
    <s v="Jane Smith"/>
    <s v="UNKNOWN"/>
    <s v="india"/>
    <n v="88850"/>
    <d v="2017-02-05T00:00:00"/>
    <n v="1"/>
    <x v="3"/>
    <s v="user174@example.com"/>
    <n v="19"/>
    <s v="user174@example.com"/>
  </r>
  <r>
    <s v="EMP1110"/>
    <s v="Chris Lee"/>
    <s v="SALES"/>
    <s v="india"/>
    <n v="31293"/>
    <s v="Unknown"/>
    <n v="2"/>
    <x v="3"/>
    <s v="user44@example.com"/>
    <n v="0"/>
    <s v="user44@example.com"/>
  </r>
  <r>
    <s v="EMP1111"/>
    <s v="Chris Lee"/>
    <s v="IT"/>
    <s v="usa"/>
    <n v="34306"/>
    <d v="2017-02-19T00:00:00"/>
    <n v="5"/>
    <x v="3"/>
    <s v="user192@example.com"/>
    <n v="5"/>
    <s v="user192@example.com"/>
  </r>
  <r>
    <s v="EMP1112"/>
    <s v="Eve Adams"/>
    <s v="FINANCE"/>
    <s v="india"/>
    <n v="78330"/>
    <d v="2017-02-26T00:00:00"/>
    <n v="3"/>
    <x v="1"/>
    <s v="user76@example.com"/>
    <n v="29"/>
    <s v="user76@example.com"/>
  </r>
  <r>
    <s v="EMP1113"/>
    <s v="Alice Brown"/>
    <s v="IT"/>
    <s v="usa"/>
    <n v="47653"/>
    <d v="2017-03-05T00:00:00"/>
    <n v="1"/>
    <x v="2"/>
    <s v="user82@example.com"/>
    <n v="19"/>
    <s v="user82@example.com"/>
  </r>
  <r>
    <s v="EMP1114"/>
    <s v="Eve Adams"/>
    <s v="MARKETING"/>
    <s v="uk"/>
    <n v="44627"/>
    <d v="2017-03-12T00:00:00"/>
    <n v="4"/>
    <x v="0"/>
    <s v="user97@example.com"/>
    <n v="12"/>
    <s v="user97@example.com"/>
  </r>
  <r>
    <s v="EMP1115"/>
    <s v="Bob Johnson"/>
    <s v="HR"/>
    <s v="germany"/>
    <n v="92343"/>
    <d v="2017-03-19T00:00:00"/>
    <n v="4"/>
    <x v="3"/>
    <s v="user149@example.com"/>
    <n v="5"/>
    <s v="user149@example.com"/>
  </r>
  <r>
    <s v="EMP1116"/>
    <s v="Bob Johnson"/>
    <s v="MARKETING"/>
    <s v="australia"/>
    <n v="38837"/>
    <d v="2017-03-26T00:00:00"/>
    <n v="5"/>
    <x v="3"/>
    <s v="user192@example.com"/>
    <n v="29"/>
    <s v="user192@example.com"/>
  </r>
  <r>
    <s v="EMP1117"/>
    <s v="Bob Johnson"/>
    <s v="MARKETING"/>
    <s v="unknown"/>
    <n v="73483"/>
    <d v="2017-04-02T00:00:00"/>
    <n v="1"/>
    <x v="0"/>
    <s v="user137@example.com"/>
    <n v="22"/>
    <s v="user137@example.com"/>
  </r>
  <r>
    <s v="EMP1118"/>
    <s v="Chris Lee"/>
    <s v="SALES"/>
    <s v="india"/>
    <n v="95032"/>
    <d v="2017-04-09T00:00:00"/>
    <n v="3"/>
    <x v="0"/>
    <s v="user23@example.com"/>
    <n v="15"/>
    <s v="user23@example.com"/>
  </r>
  <r>
    <s v="EMP1119"/>
    <s v="Eve Adams"/>
    <s v="SALES"/>
    <s v="australia"/>
    <n v="44358"/>
    <d v="2017-04-16T00:00:00"/>
    <n v="3"/>
    <x v="3"/>
    <s v="user200@example.com"/>
    <n v="8"/>
    <s v="user200@example.com"/>
  </r>
  <r>
    <s v="EMP1120"/>
    <s v="Unknown"/>
    <s v="IT"/>
    <s v="usa"/>
    <n v="66158"/>
    <s v="Unknown"/>
    <n v="5"/>
    <x v="0"/>
    <s v="user101@example.com"/>
    <n v="0"/>
    <s v="user101@example.com"/>
  </r>
  <r>
    <s v="EMP1121"/>
    <s v="Chris Lee"/>
    <s v="SALES"/>
    <s v="usa"/>
    <n v="45676"/>
    <d v="2017-04-30T00:00:00"/>
    <n v="2"/>
    <x v="0"/>
    <s v="user132@example.com"/>
    <n v="25"/>
    <s v="user132@example.com"/>
  </r>
  <r>
    <s v="EMP1122"/>
    <s v="Bob Johnson"/>
    <s v="SALES"/>
    <s v="germany"/>
    <n v="52036"/>
    <d v="2017-05-07T00:00:00"/>
    <n v="3"/>
    <x v="2"/>
    <s v="user171@example.com"/>
    <n v="17"/>
    <s v="user171@example.com"/>
  </r>
  <r>
    <s v="EMP1123"/>
    <s v="Jane Smith"/>
    <s v="UNKNOWN"/>
    <s v="germany"/>
    <n v="30357"/>
    <d v="2017-05-14T00:00:00"/>
    <n v="5"/>
    <x v="2"/>
    <s v="user145@example.com"/>
    <n v="10"/>
    <s v="user145@example.com"/>
  </r>
  <r>
    <s v="EMP1124"/>
    <s v="John Doe"/>
    <s v="IT"/>
    <s v="unknown"/>
    <n v="60034"/>
    <d v="2017-05-21T00:00:00"/>
    <n v="1"/>
    <x v="3"/>
    <s v="user75@example.com"/>
    <n v="3"/>
    <s v="user75@example.com"/>
  </r>
  <r>
    <s v="EMP1125"/>
    <s v="John Doe"/>
    <s v="FINANCE"/>
    <s v="unknown"/>
    <n v="90019"/>
    <d v="2017-05-28T00:00:00"/>
    <n v="5"/>
    <x v="0"/>
    <s v="user52@example.com"/>
    <n v="27"/>
    <s v="user52@example.com"/>
  </r>
  <r>
    <s v="EMP1126"/>
    <s v="Bob Johnson"/>
    <s v="UNKNOWN"/>
    <s v="germany"/>
    <n v="71494"/>
    <d v="2017-06-04T00:00:00"/>
    <n v="3"/>
    <x v="2"/>
    <s v="user100@example.com"/>
    <n v="20"/>
    <s v="user100@example.com"/>
  </r>
  <r>
    <s v="EMP1127"/>
    <s v="John Doe"/>
    <s v="FINANCE"/>
    <s v="usa"/>
    <n v="91953"/>
    <d v="2017-06-11T00:00:00"/>
    <n v="2"/>
    <x v="2"/>
    <s v="user83@example.com"/>
    <n v="13"/>
    <s v="user83@example.com"/>
  </r>
  <r>
    <s v="EMP1128"/>
    <s v="Chris Lee"/>
    <s v="SALES"/>
    <s v="usa"/>
    <n v="30402"/>
    <d v="2017-06-18T00:00:00"/>
    <n v="1"/>
    <x v="0"/>
    <s v="user167@example.com"/>
    <n v="6"/>
    <s v="user167@example.com"/>
  </r>
  <r>
    <s v="EMP1129"/>
    <s v="Bob Johnson"/>
    <s v="UNKNOWN"/>
    <s v="uk"/>
    <n v="62994"/>
    <d v="2017-06-25T00:00:00"/>
    <n v="3"/>
    <x v="0"/>
    <s v="user175@example.com"/>
    <n v="30"/>
    <s v="user175@example.com"/>
  </r>
  <r>
    <s v="EMP1130"/>
    <s v="Alice Brown"/>
    <s v="SALES"/>
    <s v="india"/>
    <n v="48289"/>
    <s v="Unknown"/>
    <n v="3"/>
    <x v="2"/>
    <s v="user25@example.com"/>
    <n v="0"/>
    <s v="user25@example.com"/>
  </r>
  <r>
    <s v="EMP1131"/>
    <s v="Sam Wilson"/>
    <s v="MARKETING"/>
    <s v="germany"/>
    <n v="34402"/>
    <d v="2017-07-09T00:00:00"/>
    <n v="3"/>
    <x v="1"/>
    <s v="user42@example.com"/>
    <n v="15"/>
    <s v="user42@example.com"/>
  </r>
  <r>
    <s v="EMP1132"/>
    <s v="Eve Adams"/>
    <s v="HR"/>
    <s v="usa"/>
    <n v="38678"/>
    <d v="2017-07-16T00:00:00"/>
    <n v="3"/>
    <x v="1"/>
    <s v="user188@example.com"/>
    <n v="8"/>
    <s v="user188@example.com"/>
  </r>
  <r>
    <s v="EMP1133"/>
    <s v="Chris Lee"/>
    <s v="HR"/>
    <s v="germany"/>
    <n v="45758"/>
    <d v="2017-07-23T00:00:00"/>
    <n v="3"/>
    <x v="0"/>
    <s v="user44@example.com"/>
    <n v="1"/>
    <s v="user44@example.com"/>
  </r>
  <r>
    <s v="EMP1134"/>
    <s v="Eve Adams"/>
    <s v="MARKETING"/>
    <s v="india"/>
    <n v="62476"/>
    <d v="2017-07-30T00:00:00"/>
    <n v="1"/>
    <x v="1"/>
    <s v="user63@example.com"/>
    <n v="25"/>
    <s v="user63@example.com"/>
  </r>
  <r>
    <s v="EMP1135"/>
    <s v="Unknown"/>
    <s v="IT"/>
    <s v="uk"/>
    <n v="39280"/>
    <d v="2017-08-06T00:00:00"/>
    <n v="3"/>
    <x v="3"/>
    <s v="user198@example.com"/>
    <n v="18"/>
    <s v="user198@example.com"/>
  </r>
  <r>
    <s v="EMP1136"/>
    <s v="Jane Smith"/>
    <s v="FINANCE"/>
    <s v="india"/>
    <n v="60335"/>
    <d v="2017-08-13T00:00:00"/>
    <n v="4"/>
    <x v="1"/>
    <s v="user59@example.com"/>
    <n v="11"/>
    <s v="user59@example.com"/>
  </r>
  <r>
    <s v="EMP1137"/>
    <s v="Chris Lee"/>
    <s v="HR"/>
    <s v="germany"/>
    <n v="84968"/>
    <d v="2017-08-20T00:00:00"/>
    <n v="3"/>
    <x v="0"/>
    <s v="user165@example.com"/>
    <n v="4"/>
    <s v="user165@example.com"/>
  </r>
  <r>
    <s v="EMP1138"/>
    <s v="Chris Lee"/>
    <s v="MARKETING"/>
    <s v="australia"/>
    <n v="84750"/>
    <d v="2017-08-27T00:00:00"/>
    <n v="4"/>
    <x v="3"/>
    <s v="user3@example.com"/>
    <n v="28"/>
    <s v="user3@example.com"/>
  </r>
  <r>
    <s v="EMP1139"/>
    <s v="Bob Johnson"/>
    <s v="IT"/>
    <s v="unknown"/>
    <n v="73348"/>
    <d v="2017-09-03T00:00:00"/>
    <n v="2"/>
    <x v="0"/>
    <s v="user22@example.com"/>
    <n v="21"/>
    <s v="user22@example.com"/>
  </r>
  <r>
    <s v="EMP1140"/>
    <s v="Chris Lee"/>
    <s v="SALES"/>
    <s v="usa"/>
    <n v="67929"/>
    <d v="2017-09-10T00:00:00"/>
    <n v="4"/>
    <x v="1"/>
    <s v="invalid_email"/>
    <n v="14"/>
    <s v="unknown"/>
  </r>
  <r>
    <s v="EMP1141"/>
    <s v="Jane Smith"/>
    <s v="MARKETING"/>
    <s v="usa"/>
    <n v="66882"/>
    <d v="2017-09-17T00:00:00"/>
    <n v="5"/>
    <x v="1"/>
    <s v="user103@example.com"/>
    <n v="7"/>
    <s v="user103@example.com"/>
  </r>
  <r>
    <s v="EMP1142"/>
    <s v="Alice Brown"/>
    <s v="MARKETING"/>
    <s v="unknown"/>
    <n v="86775"/>
    <d v="2017-09-24T00:00:00"/>
    <n v="3"/>
    <x v="1"/>
    <s v="user190@example.com"/>
    <n v="0"/>
    <s v="user190@example.com"/>
  </r>
  <r>
    <s v="EMP1143"/>
    <s v="Chris Lee"/>
    <s v="SALES"/>
    <s v="uk"/>
    <n v="91620"/>
    <d v="2017-10-01T00:00:00"/>
    <n v="3"/>
    <x v="0"/>
    <s v="user114@example.com"/>
    <n v="23"/>
    <s v="user114@example.com"/>
  </r>
  <r>
    <s v="EMP1144"/>
    <s v="Eve Adams"/>
    <s v="UNKNOWN"/>
    <s v="unknown"/>
    <n v="94148"/>
    <d v="2017-10-08T00:00:00"/>
    <n v="2"/>
    <x v="0"/>
    <s v="user53@example.com"/>
    <n v="16"/>
    <s v="user53@example.com"/>
  </r>
  <r>
    <s v="EMP1145"/>
    <s v="Sam Wilson"/>
    <s v="SALES"/>
    <s v="australia"/>
    <n v="35627"/>
    <d v="2017-10-15T00:00:00"/>
    <n v="5"/>
    <x v="3"/>
    <s v="user188@example.com"/>
    <n v="9"/>
    <s v="user188@example.com"/>
  </r>
  <r>
    <s v="EMP1146"/>
    <s v="John Doe"/>
    <s v="MARKETING"/>
    <s v="usa"/>
    <n v="57141"/>
    <d v="2017-10-22T00:00:00"/>
    <n v="2"/>
    <x v="0"/>
    <s v="user165@example.com"/>
    <n v="2"/>
    <s v="user165@example.com"/>
  </r>
  <r>
    <s v="EMP1147"/>
    <s v="Bob Johnson"/>
    <s v="SALES"/>
    <s v="australia"/>
    <n v="65270"/>
    <d v="2017-10-29T00:00:00"/>
    <n v="1"/>
    <x v="0"/>
    <s v="user163@example.com"/>
    <n v="26"/>
    <s v="user163@example.com"/>
  </r>
  <r>
    <s v="EMP1148"/>
    <s v="Bob Johnson"/>
    <s v="UNKNOWN"/>
    <s v="uk"/>
    <n v="67335"/>
    <d v="2017-11-05T00:00:00"/>
    <n v="1"/>
    <x v="1"/>
    <s v="user112@example.com"/>
    <n v="19"/>
    <s v="user112@example.com"/>
  </r>
  <r>
    <s v="EMP1149"/>
    <s v="Sam Wilson"/>
    <s v="MARKETING"/>
    <s v="india"/>
    <n v="98475"/>
    <d v="2017-11-12T00:00:00"/>
    <n v="5"/>
    <x v="1"/>
    <s v="user30@example.com"/>
    <n v="12"/>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7A86B-C7AB-4927-A3BE-B14C4F2FE427}" name="PivotTable6" cacheId="17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4:B9" firstHeaderRow="1" firstDataRow="1" firstDataCol="1"/>
  <pivotFields count="11">
    <pivotField showAll="0"/>
    <pivotField showAll="0"/>
    <pivotField showAll="0">
      <items count="7">
        <item x="0"/>
        <item x="1"/>
        <item x="3"/>
        <item x="4"/>
        <item x="2"/>
        <item x="5"/>
        <item t="default"/>
      </items>
    </pivotField>
    <pivotField showAll="0">
      <items count="7">
        <item x="5"/>
        <item x="1"/>
        <item x="3"/>
        <item x="4"/>
        <item x="0"/>
        <item x="2"/>
        <item t="default"/>
      </items>
    </pivotField>
    <pivotField dataField="1" numFmtId="2" showAll="0"/>
    <pivotField showAll="0"/>
    <pivotField showAll="0"/>
    <pivotField axis="axisRow" showAll="0">
      <items count="5">
        <item x="3"/>
        <item x="2"/>
        <item x="1"/>
        <item x="0"/>
        <item t="default"/>
      </items>
    </pivotField>
    <pivotField showAll="0"/>
    <pivotField numFmtId="1" showAll="0"/>
    <pivotField showAll="0"/>
  </pivotFields>
  <rowFields count="1">
    <field x="7"/>
  </rowFields>
  <rowItems count="5">
    <i>
      <x/>
    </i>
    <i>
      <x v="1"/>
    </i>
    <i>
      <x v="2"/>
    </i>
    <i>
      <x v="3"/>
    </i>
    <i t="grand">
      <x/>
    </i>
  </rowItems>
  <colItems count="1">
    <i/>
  </colItems>
  <dataFields count="1">
    <dataField name="Sum of Salary" fld="4" baseField="0" baseItem="0" numFmtId="166"/>
  </dataFields>
  <formats count="7">
    <format dxfId="385">
      <pivotArea type="all" dataOnly="0" outline="0" fieldPosition="0"/>
    </format>
    <format dxfId="386">
      <pivotArea outline="0" collapsedLevelsAreSubtotals="1" fieldPosition="0"/>
    </format>
    <format dxfId="387">
      <pivotArea field="7" type="button" dataOnly="0" labelOnly="1" outline="0" axis="axisRow" fieldPosition="0"/>
    </format>
    <format dxfId="388">
      <pivotArea dataOnly="0" labelOnly="1" fieldPosition="0">
        <references count="1">
          <reference field="7" count="0"/>
        </references>
      </pivotArea>
    </format>
    <format dxfId="389">
      <pivotArea dataOnly="0" labelOnly="1" grandRow="1" outline="0" fieldPosition="0"/>
    </format>
    <format dxfId="390">
      <pivotArea dataOnly="0" labelOnly="1" outline="0" axis="axisValues" fieldPosition="0"/>
    </format>
    <format dxfId="391">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3"/>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9" format="9">
      <pivotArea type="data" outline="0" fieldPosition="0">
        <references count="2">
          <reference field="4294967294" count="1" selected="0">
            <x v="0"/>
          </reference>
          <reference field="7"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 chart="10" format="12">
      <pivotArea type="data" outline="0" fieldPosition="0">
        <references count="2">
          <reference field="4294967294" count="1" selected="0">
            <x v="0"/>
          </reference>
          <reference field="7" count="1" selected="0">
            <x v="1"/>
          </reference>
        </references>
      </pivotArea>
    </chartFormat>
    <chartFormat chart="10" format="13">
      <pivotArea type="data" outline="0" fieldPosition="0">
        <references count="2">
          <reference field="4294967294" count="1" selected="0">
            <x v="0"/>
          </reference>
          <reference field="7" count="1" selected="0">
            <x v="2"/>
          </reference>
        </references>
      </pivotArea>
    </chartFormat>
    <chartFormat chart="10"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EFADFA-0599-49F9-A23E-3375EC54EEEC}" name="PivotTable8" cacheId="2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12:B17" firstHeaderRow="1" firstDataRow="1" firstDataCol="1"/>
  <pivotFields count="11">
    <pivotField showAll="0"/>
    <pivotField showAll="0"/>
    <pivotField showAll="0"/>
    <pivotField showAll="0"/>
    <pivotField numFmtId="2" showAll="0"/>
    <pivotField showAll="0"/>
    <pivotField showAll="0"/>
    <pivotField axis="axisRow" showAll="0">
      <items count="5">
        <item x="3"/>
        <item x="2"/>
        <item x="1"/>
        <item x="0"/>
        <item t="default"/>
      </items>
    </pivotField>
    <pivotField showAll="0"/>
    <pivotField dataField="1" numFmtId="1" showAll="0"/>
    <pivotField showAll="0"/>
  </pivotFields>
  <rowFields count="1">
    <field x="7"/>
  </rowFields>
  <rowItems count="5">
    <i>
      <x/>
    </i>
    <i>
      <x v="1"/>
    </i>
    <i>
      <x v="2"/>
    </i>
    <i>
      <x v="3"/>
    </i>
    <i t="grand">
      <x/>
    </i>
  </rowItems>
  <colItems count="1">
    <i/>
  </colItems>
  <dataFields count="1">
    <dataField name="Sum of Joining Days" fld="9" baseField="7" baseItem="0"/>
  </dataFields>
  <formats count="6">
    <format dxfId="407">
      <pivotArea type="all" dataOnly="0" outline="0" fieldPosition="0"/>
    </format>
    <format dxfId="406">
      <pivotArea outline="0" collapsedLevelsAreSubtotals="1" fieldPosition="0"/>
    </format>
    <format dxfId="405">
      <pivotArea field="7" type="button" dataOnly="0" labelOnly="1" outline="0" axis="axisRow" fieldPosition="0"/>
    </format>
    <format dxfId="404">
      <pivotArea dataOnly="0" labelOnly="1" fieldPosition="0">
        <references count="1">
          <reference field="7" count="0"/>
        </references>
      </pivotArea>
    </format>
    <format dxfId="403">
      <pivotArea dataOnly="0" labelOnly="1" grandRow="1" outline="0" fieldPosition="0"/>
    </format>
    <format dxfId="40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3"/>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480A82-A531-43F1-9526-94F6538395A0}" name="PivotTable29" cacheId="17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84:D91" firstHeaderRow="0" firstDataRow="1" firstDataCol="1"/>
  <pivotFields count="11">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7">
        <item sd="0" x="0"/>
        <item sd="0" x="1"/>
        <item sd="0" x="3"/>
        <item sd="0" x="4"/>
        <item sd="0" x="2"/>
        <item sd="0" x="5"/>
        <item t="default" sd="0"/>
      </items>
    </pivotField>
    <pivotField showAll="0"/>
    <pivotField dataField="1" numFmtId="2" showAll="0"/>
    <pivotField showAll="0"/>
    <pivotField dataField="1" showAll="0"/>
    <pivotField showAll="0"/>
    <pivotField showAll="0"/>
    <pivotField dataField="1" numFmtId="1" showAll="0"/>
    <pivotField showAll="0"/>
  </pivotFields>
  <rowFields count="2">
    <field x="2"/>
    <field x="0"/>
  </rowFields>
  <rowItems count="7">
    <i>
      <x/>
    </i>
    <i>
      <x v="1"/>
    </i>
    <i>
      <x v="2"/>
    </i>
    <i>
      <x v="3"/>
    </i>
    <i>
      <x v="4"/>
    </i>
    <i>
      <x v="5"/>
    </i>
    <i t="grand">
      <x/>
    </i>
  </rowItems>
  <colFields count="1">
    <field x="-2"/>
  </colFields>
  <colItems count="3">
    <i>
      <x/>
    </i>
    <i i="1">
      <x v="1"/>
    </i>
    <i i="2">
      <x v="2"/>
    </i>
  </colItems>
  <dataFields count="3">
    <dataField name="Sum of Salary" fld="4" baseField="0" baseItem="0"/>
    <dataField name="Sum of Joining Days" fld="9" baseField="0" baseItem="0"/>
    <dataField name="Sum of Performance Rating" fld="6" baseField="0" baseItem="0"/>
  </dataFields>
  <formats count="7">
    <format dxfId="414">
      <pivotArea type="all" dataOnly="0" outline="0" fieldPosition="0"/>
    </format>
    <format dxfId="413">
      <pivotArea outline="0" collapsedLevelsAreSubtotals="1" fieldPosition="0"/>
    </format>
    <format dxfId="412">
      <pivotArea field="2" type="button" dataOnly="0" labelOnly="1" outline="0" axis="axisRow" fieldPosition="0"/>
    </format>
    <format dxfId="411">
      <pivotArea dataOnly="0" labelOnly="1" fieldPosition="0">
        <references count="1">
          <reference field="2" count="0"/>
        </references>
      </pivotArea>
    </format>
    <format dxfId="410">
      <pivotArea dataOnly="0" labelOnly="1" grandRow="1" outline="0" fieldPosition="0"/>
    </format>
    <format dxfId="409">
      <pivotArea dataOnly="0" labelOnly="1" outline="0" fieldPosition="0">
        <references count="1">
          <reference field="4294967294" count="3">
            <x v="0"/>
            <x v="1"/>
            <x v="2"/>
          </reference>
        </references>
      </pivotArea>
    </format>
    <format dxfId="408">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7E022-1010-4CB2-B684-2A3E44EECC2C}" name="PivotTable26" cacheId="18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72:B81" firstHeaderRow="1" firstDataRow="1" firstDataCol="1"/>
  <pivotFields count="11">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9">
        <item sd="0" x="2"/>
        <item sd="0" x="7"/>
        <item sd="0" x="6"/>
        <item sd="0" x="1"/>
        <item sd="0" x="4"/>
        <item sd="0" x="3"/>
        <item sd="0" x="5"/>
        <item sd="0" x="0"/>
        <item t="default" sd="0"/>
      </items>
    </pivotField>
    <pivotField showAll="0"/>
    <pivotField showAll="0"/>
    <pivotField numFmtId="2" showAll="0"/>
    <pivotField showAll="0"/>
    <pivotField dataField="1" showAll="0"/>
    <pivotField showAll="0"/>
    <pivotField showAll="0"/>
    <pivotField numFmtId="1" showAll="0"/>
    <pivotField showAll="0"/>
  </pivotFields>
  <rowFields count="2">
    <field x="1"/>
    <field x="0"/>
  </rowFields>
  <rowItems count="9">
    <i>
      <x/>
    </i>
    <i>
      <x v="1"/>
    </i>
    <i>
      <x v="2"/>
    </i>
    <i>
      <x v="3"/>
    </i>
    <i>
      <x v="4"/>
    </i>
    <i>
      <x v="5"/>
    </i>
    <i>
      <x v="6"/>
    </i>
    <i>
      <x v="7"/>
    </i>
    <i t="grand">
      <x/>
    </i>
  </rowItems>
  <colItems count="1">
    <i/>
  </colItems>
  <dataFields count="1">
    <dataField name="Sum of Performance Rating" fld="6" baseField="0" baseItem="0"/>
  </dataFields>
  <formats count="6">
    <format dxfId="420">
      <pivotArea type="all" dataOnly="0" outline="0" fieldPosition="0"/>
    </format>
    <format dxfId="419">
      <pivotArea outline="0" collapsedLevelsAreSubtotals="1" fieldPosition="0"/>
    </format>
    <format dxfId="418">
      <pivotArea field="1" type="button" dataOnly="0" labelOnly="1" outline="0" axis="axisRow" fieldPosition="0"/>
    </format>
    <format dxfId="417">
      <pivotArea dataOnly="0" labelOnly="1" fieldPosition="0">
        <references count="1">
          <reference field="1" count="0"/>
        </references>
      </pivotArea>
    </format>
    <format dxfId="416">
      <pivotArea dataOnly="0" labelOnly="1" grandRow="1" outline="0" fieldPosition="0"/>
    </format>
    <format dxfId="415">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228874-E817-4516-8076-6622ADB7D41B}" name="PivotTable32" cacheId="20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20:D25" firstHeaderRow="0" firstDataRow="1" firstDataCol="1"/>
  <pivotFields count="11">
    <pivotField dataField="1" showAll="0"/>
    <pivotField showAll="0"/>
    <pivotField showAll="0"/>
    <pivotField showAll="0"/>
    <pivotField dataField="1" numFmtId="2" showAll="0"/>
    <pivotField axis="axisRow"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showAll="0"/>
    <pivotField axis="axisRow" showAll="0">
      <items count="5">
        <item sd="0" x="3"/>
        <item sd="0" x="2"/>
        <item sd="0" x="1"/>
        <item sd="0" x="0"/>
        <item t="default" sd="0"/>
      </items>
    </pivotField>
    <pivotField showAll="0"/>
    <pivotField dataField="1" numFmtId="1" showAll="0"/>
    <pivotField showAll="0"/>
  </pivotFields>
  <rowFields count="2">
    <field x="7"/>
    <field x="5"/>
  </rowFields>
  <rowItems count="5">
    <i>
      <x/>
    </i>
    <i>
      <x v="1"/>
    </i>
    <i>
      <x v="2"/>
    </i>
    <i>
      <x v="3"/>
    </i>
    <i t="grand">
      <x/>
    </i>
  </rowItems>
  <colFields count="1">
    <field x="-2"/>
  </colFields>
  <colItems count="3">
    <i>
      <x/>
    </i>
    <i i="1">
      <x v="1"/>
    </i>
    <i i="2">
      <x v="2"/>
    </i>
  </colItems>
  <dataFields count="3">
    <dataField name="Count of Employee ID" fld="0" subtotal="count" baseField="7" baseItem="0"/>
    <dataField name="Average of Joining Days" fld="9" subtotal="average" baseField="7" baseItem="0"/>
    <dataField name="Average of Salary" fld="4" subtotal="average" baseField="7" baseItem="0"/>
  </dataFields>
  <formats count="12">
    <format dxfId="432">
      <pivotArea type="all" dataOnly="0" outline="0" fieldPosition="0"/>
    </format>
    <format dxfId="431">
      <pivotArea outline="0" collapsedLevelsAreSubtotals="1" fieldPosition="0"/>
    </format>
    <format dxfId="430">
      <pivotArea field="7" type="button" dataOnly="0" labelOnly="1" outline="0" axis="axisRow" fieldPosition="0"/>
    </format>
    <format dxfId="429">
      <pivotArea dataOnly="0" labelOnly="1" fieldPosition="0">
        <references count="1">
          <reference field="7" count="0"/>
        </references>
      </pivotArea>
    </format>
    <format dxfId="428">
      <pivotArea dataOnly="0" labelOnly="1" grandRow="1" outline="0" fieldPosition="0"/>
    </format>
    <format dxfId="427">
      <pivotArea dataOnly="0" labelOnly="1" outline="0" fieldPosition="0">
        <references count="1">
          <reference field="4294967294" count="3">
            <x v="0"/>
            <x v="1"/>
            <x v="2"/>
          </reference>
        </references>
      </pivotArea>
    </format>
    <format dxfId="426">
      <pivotArea type="all" dataOnly="0" outline="0" fieldPosition="0"/>
    </format>
    <format dxfId="425">
      <pivotArea outline="0" collapsedLevelsAreSubtotals="1" fieldPosition="0"/>
    </format>
    <format dxfId="424">
      <pivotArea field="7" type="button" dataOnly="0" labelOnly="1" outline="0" axis="axisRow" fieldPosition="0"/>
    </format>
    <format dxfId="423">
      <pivotArea dataOnly="0" labelOnly="1" fieldPosition="0">
        <references count="1">
          <reference field="7" count="0"/>
        </references>
      </pivotArea>
    </format>
    <format dxfId="422">
      <pivotArea dataOnly="0" labelOnly="1" grandRow="1" outline="0" fieldPosition="0"/>
    </format>
    <format dxfId="421">
      <pivotArea dataOnly="0" labelOnly="1" outline="0" fieldPosition="0">
        <references count="1">
          <reference field="4294967294" count="3">
            <x v="0"/>
            <x v="1"/>
            <x v="2"/>
          </reference>
        </references>
      </pivotArea>
    </format>
  </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7" count="1" selected="0">
            <x v="2"/>
          </reference>
        </references>
      </pivotArea>
    </chartFormat>
    <chartFormat chart="0" format="4">
      <pivotArea type="data" outline="0" fieldPosition="0">
        <references count="2">
          <reference field="4294967294" count="1" selected="0">
            <x v="2"/>
          </reference>
          <reference field="7" count="1" selected="0">
            <x v="3"/>
          </reference>
        </references>
      </pivotArea>
    </chartFormat>
    <chartFormat chart="0" format="5">
      <pivotArea type="data" outline="0" fieldPosition="0">
        <references count="2">
          <reference field="4294967294" count="1" selected="0">
            <x v="1"/>
          </reference>
          <reference field="7" count="1" selected="0">
            <x v="3"/>
          </reference>
        </references>
      </pivotArea>
    </chartFormat>
    <chartFormat chart="0" format="6">
      <pivotArea type="data" outline="0" fieldPosition="0">
        <references count="2">
          <reference field="4294967294" count="1" selected="0">
            <x v="1"/>
          </reference>
          <reference field="7" count="1" selected="0">
            <x v="2"/>
          </reference>
        </references>
      </pivotArea>
    </chartFormat>
    <chartFormat chart="0" format="7">
      <pivotArea type="data" outline="0" fieldPosition="0">
        <references count="2">
          <reference field="4294967294" count="1" selected="0">
            <x v="1"/>
          </reference>
          <reference field="7" count="1" selected="0">
            <x v="1"/>
          </reference>
        </references>
      </pivotArea>
    </chartFormat>
    <chartFormat chart="0" format="8">
      <pivotArea type="data" outline="0" fieldPosition="0">
        <references count="2">
          <reference field="4294967294" count="1" selected="0">
            <x v="1"/>
          </reference>
          <reference field="7"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pivotArea type="data" outline="0" fieldPosition="0">
        <references count="2">
          <reference field="4294967294" count="1" selected="0">
            <x v="1"/>
          </reference>
          <reference field="7" count="1" selected="0">
            <x v="0"/>
          </reference>
        </references>
      </pivotArea>
    </chartFormat>
    <chartFormat chart="2" format="12">
      <pivotArea type="data" outline="0" fieldPosition="0">
        <references count="2">
          <reference field="4294967294" count="1" selected="0">
            <x v="1"/>
          </reference>
          <reference field="7" count="1" selected="0">
            <x v="1"/>
          </reference>
        </references>
      </pivotArea>
    </chartFormat>
    <chartFormat chart="2" format="13">
      <pivotArea type="data" outline="0" fieldPosition="0">
        <references count="2">
          <reference field="4294967294" count="1" selected="0">
            <x v="1"/>
          </reference>
          <reference field="7" count="1" selected="0">
            <x v="2"/>
          </reference>
        </references>
      </pivotArea>
    </chartFormat>
    <chartFormat chart="2" format="14">
      <pivotArea type="data" outline="0" fieldPosition="0">
        <references count="2">
          <reference field="4294967294" count="1" selected="0">
            <x v="1"/>
          </reference>
          <reference field="7" count="1" selected="0">
            <x v="3"/>
          </reference>
        </references>
      </pivotArea>
    </chartFormat>
    <chartFormat chart="2" format="15" series="1">
      <pivotArea type="data" outline="0" fieldPosition="0">
        <references count="1">
          <reference field="4294967294" count="1" selected="0">
            <x v="2"/>
          </reference>
        </references>
      </pivotArea>
    </chartFormat>
    <chartFormat chart="2" format="16">
      <pivotArea type="data" outline="0" fieldPosition="0">
        <references count="2">
          <reference field="4294967294" count="1" selected="0">
            <x v="2"/>
          </reference>
          <reference field="7" count="1" selected="0">
            <x v="2"/>
          </reference>
        </references>
      </pivotArea>
    </chartFormat>
    <chartFormat chart="2" format="17">
      <pivotArea type="data" outline="0" fieldPosition="0">
        <references count="2">
          <reference field="4294967294" count="1" selected="0">
            <x v="2"/>
          </reference>
          <reference field="7" count="1" selected="0">
            <x v="3"/>
          </reference>
        </references>
      </pivotArea>
    </chartFormat>
    <chartFormat chart="3" format="18" series="1">
      <pivotArea type="data" outline="0" fieldPosition="0">
        <references count="1">
          <reference field="4294967294" count="1" selected="0">
            <x v="0"/>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7" count="1" selected="0">
            <x v="0"/>
          </reference>
        </references>
      </pivotArea>
    </chartFormat>
    <chartFormat chart="3" format="21">
      <pivotArea type="data" outline="0" fieldPosition="0">
        <references count="2">
          <reference field="4294967294" count="1" selected="0">
            <x v="1"/>
          </reference>
          <reference field="7" count="1" selected="0">
            <x v="1"/>
          </reference>
        </references>
      </pivotArea>
    </chartFormat>
    <chartFormat chart="3" format="22">
      <pivotArea type="data" outline="0" fieldPosition="0">
        <references count="2">
          <reference field="4294967294" count="1" selected="0">
            <x v="1"/>
          </reference>
          <reference field="7" count="1" selected="0">
            <x v="2"/>
          </reference>
        </references>
      </pivotArea>
    </chartFormat>
    <chartFormat chart="3" format="23">
      <pivotArea type="data" outline="0" fieldPosition="0">
        <references count="2">
          <reference field="4294967294" count="1" selected="0">
            <x v="1"/>
          </reference>
          <reference field="7" count="1" selected="0">
            <x v="3"/>
          </reference>
        </references>
      </pivotArea>
    </chartFormat>
    <chartFormat chart="3" format="24" series="1">
      <pivotArea type="data" outline="0" fieldPosition="0">
        <references count="1">
          <reference field="4294967294" count="1" selected="0">
            <x v="2"/>
          </reference>
        </references>
      </pivotArea>
    </chartFormat>
    <chartFormat chart="3" format="25">
      <pivotArea type="data" outline="0" fieldPosition="0">
        <references count="2">
          <reference field="4294967294" count="1" selected="0">
            <x v="2"/>
          </reference>
          <reference field="7" count="1" selected="0">
            <x v="2"/>
          </reference>
        </references>
      </pivotArea>
    </chartFormat>
    <chartFormat chart="3" format="26">
      <pivotArea type="data" outline="0" fieldPosition="0">
        <references count="2">
          <reference field="4294967294" count="1" selected="0">
            <x v="2"/>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0BFF8D-1A12-4382-B5D3-2F3ADCF102ED}" name="PivotTable20" cacheId="19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50:B59" firstHeaderRow="1" firstDataRow="1" firstDataCol="1"/>
  <pivotFields count="11">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9">
        <item sd="0" x="2"/>
        <item sd="0" x="7"/>
        <item sd="0" x="6"/>
        <item sd="0" x="1"/>
        <item sd="0" x="4"/>
        <item sd="0" x="3"/>
        <item sd="0" x="5"/>
        <item sd="0" x="0"/>
        <item t="default" sd="0"/>
      </items>
    </pivotField>
    <pivotField showAll="0"/>
    <pivotField showAll="0"/>
    <pivotField dataField="1" numFmtId="2" showAll="0"/>
    <pivotField showAll="0"/>
    <pivotField showAll="0"/>
    <pivotField showAll="0"/>
    <pivotField showAll="0"/>
    <pivotField numFmtId="1" showAll="0"/>
    <pivotField showAll="0"/>
  </pivotFields>
  <rowFields count="2">
    <field x="1"/>
    <field x="0"/>
  </rowFields>
  <rowItems count="9">
    <i>
      <x/>
    </i>
    <i>
      <x v="1"/>
    </i>
    <i>
      <x v="2"/>
    </i>
    <i>
      <x v="3"/>
    </i>
    <i>
      <x v="4"/>
    </i>
    <i>
      <x v="5"/>
    </i>
    <i>
      <x v="6"/>
    </i>
    <i>
      <x v="7"/>
    </i>
    <i t="grand">
      <x/>
    </i>
  </rowItems>
  <colItems count="1">
    <i/>
  </colItems>
  <dataFields count="1">
    <dataField name="Sum of Salary" fld="4" baseField="0" baseItem="0" numFmtId="166"/>
  </dataFields>
  <formats count="7">
    <format dxfId="439">
      <pivotArea type="all" dataOnly="0" outline="0" fieldPosition="0"/>
    </format>
    <format dxfId="438">
      <pivotArea outline="0" collapsedLevelsAreSubtotals="1" fieldPosition="0"/>
    </format>
    <format dxfId="437">
      <pivotArea field="1" type="button" dataOnly="0" labelOnly="1" outline="0" axis="axisRow" fieldPosition="0"/>
    </format>
    <format dxfId="436">
      <pivotArea dataOnly="0" labelOnly="1" fieldPosition="0">
        <references count="1">
          <reference field="1" count="0"/>
        </references>
      </pivotArea>
    </format>
    <format dxfId="435">
      <pivotArea dataOnly="0" labelOnly="1" grandRow="1" outline="0" fieldPosition="0"/>
    </format>
    <format dxfId="434">
      <pivotArea dataOnly="0" labelOnly="1" outline="0" axis="axisValues" fieldPosition="0"/>
    </format>
    <format dxfId="43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A1020A-5FAC-42A9-843B-DDF506D264F0}" name="PivotTable23" cacheId="18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A62:B69" firstHeaderRow="1" firstDataRow="1" firstDataCol="1"/>
  <pivotFields count="11">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axis="axisRow" showAll="0">
      <items count="7">
        <item sd="0" x="5"/>
        <item sd="0" x="1"/>
        <item sd="0" x="3"/>
        <item sd="0" x="4"/>
        <item sd="0" x="0"/>
        <item sd="0" x="2"/>
        <item t="default" sd="0"/>
      </items>
    </pivotField>
    <pivotField numFmtId="2" showAll="0"/>
    <pivotField showAll="0"/>
    <pivotField dataField="1" showAll="0"/>
    <pivotField showAll="0"/>
    <pivotField showAll="0"/>
    <pivotField numFmtId="1" showAll="0"/>
    <pivotField showAll="0"/>
  </pivotFields>
  <rowFields count="2">
    <field x="3"/>
    <field x="0"/>
  </rowFields>
  <rowItems count="7">
    <i>
      <x/>
    </i>
    <i>
      <x v="1"/>
    </i>
    <i>
      <x v="2"/>
    </i>
    <i>
      <x v="3"/>
    </i>
    <i>
      <x v="4"/>
    </i>
    <i>
      <x v="5"/>
    </i>
    <i t="grand">
      <x/>
    </i>
  </rowItems>
  <colItems count="1">
    <i/>
  </colItems>
  <dataFields count="1">
    <dataField name="Sum of Performance Rating" fld="6" baseField="0" baseItem="0"/>
  </dataFields>
  <formats count="6">
    <format dxfId="445">
      <pivotArea type="all" dataOnly="0" outline="0" fieldPosition="0"/>
    </format>
    <format dxfId="444">
      <pivotArea outline="0" collapsedLevelsAreSubtotals="1" fieldPosition="0"/>
    </format>
    <format dxfId="443">
      <pivotArea field="3" type="button" dataOnly="0" labelOnly="1" outline="0" axis="axisRow" fieldPosition="0"/>
    </format>
    <format dxfId="442">
      <pivotArea dataOnly="0" labelOnly="1" fieldPosition="0">
        <references count="1">
          <reference field="3" count="0"/>
        </references>
      </pivotArea>
    </format>
    <format dxfId="441">
      <pivotArea dataOnly="0" labelOnly="1" grandRow="1" outline="0" fieldPosition="0"/>
    </format>
    <format dxfId="440">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0057BA-5AE3-47C9-B231-69B8B6441F08}" name="PivotTable14" cacheId="20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28:D37" firstHeaderRow="0" firstDataRow="1" firstDataCol="1"/>
  <pivotFields count="11">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9">
        <item sd="0" x="2"/>
        <item sd="0" x="7"/>
        <item sd="0" x="6"/>
        <item sd="0" x="1"/>
        <item sd="0" x="4"/>
        <item sd="0" x="3"/>
        <item sd="0" x="5"/>
        <item sd="0" x="0"/>
        <item t="default" sd="0"/>
      </items>
    </pivotField>
    <pivotField showAll="0"/>
    <pivotField showAll="0"/>
    <pivotField dataField="1" numFmtId="2" showAll="0"/>
    <pivotField showAll="0"/>
    <pivotField dataField="1" showAll="0"/>
    <pivotField showAll="0"/>
    <pivotField showAll="0"/>
    <pivotField dataField="1" numFmtId="1" showAll="0"/>
    <pivotField showAll="0"/>
  </pivotFields>
  <rowFields count="2">
    <field x="1"/>
    <field x="0"/>
  </rowFields>
  <rowItems count="9">
    <i>
      <x/>
    </i>
    <i>
      <x v="1"/>
    </i>
    <i>
      <x v="2"/>
    </i>
    <i>
      <x v="3"/>
    </i>
    <i>
      <x v="4"/>
    </i>
    <i>
      <x v="5"/>
    </i>
    <i>
      <x v="6"/>
    </i>
    <i>
      <x v="7"/>
    </i>
    <i t="grand">
      <x/>
    </i>
  </rowItems>
  <colFields count="1">
    <field x="-2"/>
  </colFields>
  <colItems count="3">
    <i>
      <x/>
    </i>
    <i i="1">
      <x v="1"/>
    </i>
    <i i="2">
      <x v="2"/>
    </i>
  </colItems>
  <dataFields count="3">
    <dataField name="Sum of Joining Days" fld="9" baseField="0" baseItem="0"/>
    <dataField name="Sum of Salary" fld="4" baseField="0" baseItem="0"/>
    <dataField name="Sum of Performance Rating" fld="6" baseField="1" baseItem="0"/>
  </dataFields>
  <formats count="7">
    <format dxfId="452">
      <pivotArea type="all" dataOnly="0" outline="0" fieldPosition="0"/>
    </format>
    <format dxfId="451">
      <pivotArea outline="0" collapsedLevelsAreSubtotals="1" fieldPosition="0"/>
    </format>
    <format dxfId="450">
      <pivotArea field="1" type="button" dataOnly="0" labelOnly="1" outline="0" axis="axisRow" fieldPosition="0"/>
    </format>
    <format dxfId="449">
      <pivotArea dataOnly="0" labelOnly="1" fieldPosition="0">
        <references count="1">
          <reference field="1" count="0"/>
        </references>
      </pivotArea>
    </format>
    <format dxfId="448">
      <pivotArea dataOnly="0" labelOnly="1" grandRow="1" outline="0" fieldPosition="0"/>
    </format>
    <format dxfId="447">
      <pivotArea dataOnly="0" labelOnly="1" outline="0" fieldPosition="0">
        <references count="1">
          <reference field="4294967294" count="3">
            <x v="0"/>
            <x v="1"/>
            <x v="2"/>
          </reference>
        </references>
      </pivotArea>
    </format>
    <format dxfId="446">
      <pivotArea dataOnly="0" outline="0" fieldPosition="0">
        <references count="1">
          <reference field="4294967294" count="3">
            <x v="0"/>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7"/>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7"/>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51C365-A76F-4C4D-BFBF-02655A019104}" name="PivotTable17" cacheId="1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40:B47" firstHeaderRow="1" firstDataRow="1" firstDataCol="1"/>
  <pivotFields count="11">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axis="axisRow" showAll="0">
      <items count="7">
        <item sd="0" x="5"/>
        <item sd="0" x="1"/>
        <item sd="0" x="3"/>
        <item sd="0" x="4"/>
        <item sd="0" x="0"/>
        <item sd="0" x="2"/>
        <item t="default" sd="0"/>
      </items>
    </pivotField>
    <pivotField dataField="1" numFmtId="2" showAll="0"/>
    <pivotField showAll="0"/>
    <pivotField showAll="0"/>
    <pivotField showAll="0"/>
    <pivotField showAll="0"/>
    <pivotField numFmtId="1" showAll="0"/>
    <pivotField showAll="0"/>
  </pivotFields>
  <rowFields count="2">
    <field x="3"/>
    <field x="0"/>
  </rowFields>
  <rowItems count="7">
    <i>
      <x/>
    </i>
    <i>
      <x v="1"/>
    </i>
    <i>
      <x v="2"/>
    </i>
    <i>
      <x v="3"/>
    </i>
    <i>
      <x v="4"/>
    </i>
    <i>
      <x v="5"/>
    </i>
    <i t="grand">
      <x/>
    </i>
  </rowItems>
  <colItems count="1">
    <i/>
  </colItems>
  <dataFields count="1">
    <dataField name="Average of Salary" fld="4" subtotal="average" baseField="3" baseItem="0" numFmtId="166"/>
  </dataFields>
  <formats count="7">
    <format dxfId="459">
      <pivotArea type="all" dataOnly="0" outline="0" fieldPosition="0"/>
    </format>
    <format dxfId="458">
      <pivotArea outline="0" collapsedLevelsAreSubtotals="1" fieldPosition="0"/>
    </format>
    <format dxfId="457">
      <pivotArea field="3" type="button" dataOnly="0" labelOnly="1" outline="0" axis="axisRow" fieldPosition="0"/>
    </format>
    <format dxfId="456">
      <pivotArea dataOnly="0" labelOnly="1" fieldPosition="0">
        <references count="1">
          <reference field="3" count="0"/>
        </references>
      </pivotArea>
    </format>
    <format dxfId="455">
      <pivotArea dataOnly="0" labelOnly="1" grandRow="1" outline="0" fieldPosition="0"/>
    </format>
    <format dxfId="454">
      <pivotArea dataOnly="0" labelOnly="1" outline="0" axis="axisValues" fieldPosition="0"/>
    </format>
    <format dxfId="453">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5"/>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 chart="4" format="13">
      <pivotArea type="data" outline="0" fieldPosition="0">
        <references count="2">
          <reference field="4294967294" count="1" selected="0">
            <x v="0"/>
          </reference>
          <reference field="3"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pivotArea type="data" outline="0" fieldPosition="0">
        <references count="2">
          <reference field="4294967294" count="1" selected="0">
            <x v="0"/>
          </reference>
          <reference field="3" count="1" selected="0">
            <x v="2"/>
          </reference>
        </references>
      </pivotArea>
    </chartFormat>
    <chartFormat chart="5" format="18">
      <pivotArea type="data" outline="0" fieldPosition="0">
        <references count="2">
          <reference field="4294967294" count="1" selected="0">
            <x v="0"/>
          </reference>
          <reference field="3" count="1" selected="0">
            <x v="3"/>
          </reference>
        </references>
      </pivotArea>
    </chartFormat>
    <chartFormat chart="5" format="19">
      <pivotArea type="data" outline="0" fieldPosition="0">
        <references count="2">
          <reference field="4294967294" count="1" selected="0">
            <x v="0"/>
          </reference>
          <reference field="3" count="1" selected="0">
            <x v="4"/>
          </reference>
        </references>
      </pivotArea>
    </chartFormat>
    <chartFormat chart="5"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18E268-2946-4DEF-87AD-0E93BF2FC504}" sourceName="Gender">
  <pivotTables>
    <pivotTable tabId="7" name="PivotTable6"/>
  </pivotTables>
  <data>
    <tabular pivotCacheId="109691819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F47B8A7-94C3-486D-9BD7-6E17080A4348}" sourceName="Department">
  <pivotTables>
    <pivotTable tabId="7" name="PivotTable29"/>
  </pivotTables>
  <data>
    <tabular pivotCacheId="643522291">
      <items count="6">
        <i x="0" s="1"/>
        <i x="1" s="1"/>
        <i x="3"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B24970A-97CA-481D-8D5B-52EC1525A679}" sourceName="Country">
  <pivotTables>
    <pivotTable tabId="7" name="PivotTable17"/>
  </pivotTables>
  <data>
    <tabular pivotCacheId="1355114048">
      <items count="6">
        <i x="5" s="1"/>
        <i x="1"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B3AB043-6323-45B6-8A7D-72BB7F6485ED}" cache="Slicer_Gender" caption="Gender" style="Slicer Style 1" rowHeight="241300"/>
  <slicer name="Department 1" xr10:uid="{A7C36304-83B7-4160-B67B-7FBFBE7A206B}" cache="Slicer_Department1" caption="Department" style="Slicer Style 1" rowHeight="241300"/>
  <slicer name="Country 1" xr10:uid="{9331108B-ECDB-448F-A5C9-649C0A3D2542}" cache="Slicer_Country1" caption="Country" style="Slicer Style 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activeCell="H2" sqref="H2"/>
    </sheetView>
  </sheetViews>
  <sheetFormatPr defaultColWidth="8.7265625" defaultRowHeight="14.5" x14ac:dyDescent="0.35"/>
  <cols>
    <col min="1" max="1" width="20.1796875" style="11" bestFit="1" customWidth="1"/>
    <col min="2" max="2" width="12.54296875" style="11" bestFit="1" customWidth="1"/>
    <col min="3" max="3" width="19.81640625" style="11" bestFit="1" customWidth="1"/>
    <col min="4" max="4" width="14.81640625" style="11" bestFit="1" customWidth="1"/>
    <col min="5" max="5" width="12.7265625" style="11" bestFit="1" customWidth="1"/>
    <col min="6" max="6" width="22.81640625" style="11" bestFit="1" customWidth="1"/>
    <col min="7" max="7" width="17.7265625" style="11" bestFit="1" customWidth="1"/>
    <col min="8" max="8" width="14.26953125" style="11" bestFit="1" customWidth="1"/>
    <col min="9" max="9" width="22.1796875" style="11" bestFit="1" customWidth="1"/>
    <col min="10" max="16384" width="8.7265625" style="11"/>
  </cols>
  <sheetData>
    <row r="1" spans="1:9" s="6" customFormat="1" x14ac:dyDescent="0.35">
      <c r="A1" s="12" t="s">
        <v>0</v>
      </c>
      <c r="B1" s="12" t="s">
        <v>1</v>
      </c>
      <c r="C1" s="12" t="s">
        <v>2</v>
      </c>
      <c r="D1" s="12" t="s">
        <v>3</v>
      </c>
      <c r="E1" s="12" t="s">
        <v>4</v>
      </c>
      <c r="F1" s="12" t="s">
        <v>5</v>
      </c>
      <c r="G1" s="12" t="s">
        <v>6</v>
      </c>
      <c r="H1" s="12" t="s">
        <v>7</v>
      </c>
      <c r="I1" s="12" t="s">
        <v>8</v>
      </c>
    </row>
    <row r="2" spans="1:9" x14ac:dyDescent="0.35">
      <c r="A2" s="1" t="s">
        <v>9</v>
      </c>
      <c r="B2"/>
      <c r="C2" s="1" t="s">
        <v>166</v>
      </c>
      <c r="D2" s="1" t="s">
        <v>171</v>
      </c>
      <c r="E2" s="1" t="s">
        <v>177</v>
      </c>
      <c r="F2"/>
      <c r="G2" s="1">
        <v>2</v>
      </c>
      <c r="H2" s="1" t="s">
        <v>178</v>
      </c>
      <c r="I2" s="1" t="s">
        <v>182</v>
      </c>
    </row>
    <row r="3" spans="1:9" x14ac:dyDescent="0.35">
      <c r="A3" s="1" t="s">
        <v>10</v>
      </c>
      <c r="B3" s="1" t="s">
        <v>159</v>
      </c>
      <c r="C3" s="1" t="s">
        <v>167</v>
      </c>
      <c r="D3" s="1" t="s">
        <v>172</v>
      </c>
      <c r="E3" s="1">
        <v>54255</v>
      </c>
      <c r="F3" s="13">
        <v>42015</v>
      </c>
      <c r="G3" s="1">
        <v>1</v>
      </c>
      <c r="H3" s="1" t="s">
        <v>179</v>
      </c>
      <c r="I3" s="1" t="s">
        <v>183</v>
      </c>
    </row>
    <row r="4" spans="1:9" x14ac:dyDescent="0.35">
      <c r="A4" s="1" t="s">
        <v>11</v>
      </c>
      <c r="B4" s="1" t="s">
        <v>160</v>
      </c>
      <c r="C4" s="1" t="s">
        <v>166</v>
      </c>
      <c r="D4" s="1" t="s">
        <v>172</v>
      </c>
      <c r="E4" s="1">
        <v>63184</v>
      </c>
      <c r="F4" s="13">
        <v>42022</v>
      </c>
      <c r="G4" s="1">
        <v>2</v>
      </c>
      <c r="H4"/>
      <c r="I4" s="1" t="s">
        <v>184</v>
      </c>
    </row>
    <row r="5" spans="1:9" x14ac:dyDescent="0.35">
      <c r="A5" s="1" t="s">
        <v>12</v>
      </c>
      <c r="B5" s="1" t="s">
        <v>161</v>
      </c>
      <c r="C5" s="1" t="s">
        <v>168</v>
      </c>
      <c r="D5" s="1" t="s">
        <v>173</v>
      </c>
      <c r="E5" s="1">
        <v>94406</v>
      </c>
      <c r="F5" s="13">
        <v>42029</v>
      </c>
      <c r="G5" s="1">
        <v>1</v>
      </c>
      <c r="H5" s="1" t="s">
        <v>180</v>
      </c>
      <c r="I5" s="1" t="s">
        <v>185</v>
      </c>
    </row>
    <row r="6" spans="1:9" x14ac:dyDescent="0.35">
      <c r="A6" s="1" t="s">
        <v>13</v>
      </c>
      <c r="B6" s="1" t="s">
        <v>162</v>
      </c>
      <c r="C6" s="1" t="s">
        <v>168</v>
      </c>
      <c r="D6" s="1" t="s">
        <v>172</v>
      </c>
      <c r="E6" s="1">
        <v>64120</v>
      </c>
      <c r="F6" s="13">
        <v>42036</v>
      </c>
      <c r="G6" s="1">
        <v>1</v>
      </c>
      <c r="H6" s="1" t="s">
        <v>180</v>
      </c>
      <c r="I6" s="1" t="s">
        <v>186</v>
      </c>
    </row>
    <row r="7" spans="1:9" x14ac:dyDescent="0.35">
      <c r="A7" s="1" t="s">
        <v>14</v>
      </c>
      <c r="B7" s="1" t="s">
        <v>160</v>
      </c>
      <c r="C7" s="1" t="s">
        <v>169</v>
      </c>
      <c r="D7" s="1" t="s">
        <v>174</v>
      </c>
      <c r="E7" s="1">
        <v>78421</v>
      </c>
      <c r="F7" s="13">
        <v>42043</v>
      </c>
      <c r="G7" s="1">
        <v>2</v>
      </c>
      <c r="H7" s="1" t="s">
        <v>181</v>
      </c>
      <c r="I7" s="1" t="s">
        <v>187</v>
      </c>
    </row>
    <row r="8" spans="1:9" x14ac:dyDescent="0.35">
      <c r="A8" s="1" t="s">
        <v>15</v>
      </c>
      <c r="B8" s="1" t="s">
        <v>163</v>
      </c>
      <c r="C8" s="1" t="s">
        <v>168</v>
      </c>
      <c r="D8"/>
      <c r="E8" s="1">
        <v>67721</v>
      </c>
      <c r="F8" s="13">
        <v>42050</v>
      </c>
      <c r="G8"/>
      <c r="H8" s="1" t="s">
        <v>180</v>
      </c>
      <c r="I8" s="1" t="s">
        <v>185</v>
      </c>
    </row>
    <row r="9" spans="1:9" x14ac:dyDescent="0.35">
      <c r="A9" s="1" t="s">
        <v>16</v>
      </c>
      <c r="B9" s="1" t="s">
        <v>164</v>
      </c>
      <c r="C9" s="1" t="s">
        <v>170</v>
      </c>
      <c r="D9"/>
      <c r="E9" s="1">
        <v>35364</v>
      </c>
      <c r="F9" s="13">
        <v>42057</v>
      </c>
      <c r="G9" s="1">
        <v>2</v>
      </c>
      <c r="H9" s="1" t="s">
        <v>179</v>
      </c>
      <c r="I9" s="1" t="s">
        <v>188</v>
      </c>
    </row>
    <row r="10" spans="1:9" x14ac:dyDescent="0.35">
      <c r="A10" s="1" t="s">
        <v>17</v>
      </c>
      <c r="B10" s="1" t="s">
        <v>160</v>
      </c>
      <c r="C10" s="1" t="s">
        <v>169</v>
      </c>
      <c r="D10" s="1" t="s">
        <v>172</v>
      </c>
      <c r="E10" s="1">
        <v>97881</v>
      </c>
      <c r="F10" s="13">
        <v>42064</v>
      </c>
      <c r="G10"/>
      <c r="H10" s="1" t="s">
        <v>181</v>
      </c>
      <c r="I10" s="1" t="s">
        <v>189</v>
      </c>
    </row>
    <row r="11" spans="1:9" x14ac:dyDescent="0.35">
      <c r="A11" s="1" t="s">
        <v>18</v>
      </c>
      <c r="B11" s="1" t="s">
        <v>164</v>
      </c>
      <c r="C11" s="1" t="s">
        <v>167</v>
      </c>
      <c r="D11" s="1" t="s">
        <v>175</v>
      </c>
      <c r="E11" s="1">
        <v>91846</v>
      </c>
      <c r="F11" s="13">
        <v>42071</v>
      </c>
      <c r="G11"/>
      <c r="H11" s="1" t="s">
        <v>180</v>
      </c>
      <c r="I11" s="1" t="s">
        <v>190</v>
      </c>
    </row>
    <row r="12" spans="1:9" x14ac:dyDescent="0.35">
      <c r="A12" s="1" t="s">
        <v>19</v>
      </c>
      <c r="B12" s="1" t="s">
        <v>163</v>
      </c>
      <c r="C12" s="1" t="s">
        <v>166</v>
      </c>
      <c r="D12" s="1" t="s">
        <v>175</v>
      </c>
      <c r="E12" s="1">
        <v>64247</v>
      </c>
      <c r="F12" s="13">
        <v>42078</v>
      </c>
      <c r="G12" s="1">
        <v>1</v>
      </c>
      <c r="H12" s="1" t="s">
        <v>181</v>
      </c>
      <c r="I12" s="1" t="s">
        <v>191</v>
      </c>
    </row>
    <row r="13" spans="1:9" x14ac:dyDescent="0.35">
      <c r="A13" s="1" t="s">
        <v>20</v>
      </c>
      <c r="B13" s="1" t="s">
        <v>163</v>
      </c>
      <c r="C13" s="1" t="s">
        <v>169</v>
      </c>
      <c r="D13" s="1" t="s">
        <v>173</v>
      </c>
      <c r="E13" s="1">
        <v>91180</v>
      </c>
      <c r="F13" s="13">
        <v>42085</v>
      </c>
      <c r="G13" s="1">
        <v>5</v>
      </c>
      <c r="H13" s="1" t="s">
        <v>180</v>
      </c>
      <c r="I13" s="1" t="s">
        <v>192</v>
      </c>
    </row>
    <row r="14" spans="1:9" x14ac:dyDescent="0.35">
      <c r="A14" s="1" t="s">
        <v>21</v>
      </c>
      <c r="B14" s="1" t="s">
        <v>165</v>
      </c>
      <c r="C14" s="1" t="s">
        <v>168</v>
      </c>
      <c r="D14"/>
      <c r="E14" s="1">
        <v>96418</v>
      </c>
      <c r="F14" s="13">
        <v>42092</v>
      </c>
      <c r="G14" s="1">
        <v>5</v>
      </c>
      <c r="H14" s="1" t="s">
        <v>180</v>
      </c>
      <c r="I14" s="1" t="s">
        <v>183</v>
      </c>
    </row>
    <row r="15" spans="1:9" x14ac:dyDescent="0.35">
      <c r="A15" s="1" t="s">
        <v>22</v>
      </c>
      <c r="B15" s="1" t="s">
        <v>163</v>
      </c>
      <c r="C15"/>
      <c r="D15" s="1" t="s">
        <v>174</v>
      </c>
      <c r="E15" s="1">
        <v>62158</v>
      </c>
      <c r="F15" s="13">
        <v>42099</v>
      </c>
      <c r="G15" s="1">
        <v>4</v>
      </c>
      <c r="H15"/>
      <c r="I15" s="1" t="s">
        <v>193</v>
      </c>
    </row>
    <row r="16" spans="1:9" x14ac:dyDescent="0.35">
      <c r="A16" s="1" t="s">
        <v>23</v>
      </c>
      <c r="B16" s="1" t="s">
        <v>162</v>
      </c>
      <c r="C16" s="1" t="s">
        <v>167</v>
      </c>
      <c r="D16"/>
      <c r="E16" s="1">
        <v>59894</v>
      </c>
      <c r="F16" s="13">
        <v>42106</v>
      </c>
      <c r="G16" s="1">
        <v>2</v>
      </c>
      <c r="H16" s="1" t="s">
        <v>180</v>
      </c>
      <c r="I16" s="1" t="s">
        <v>194</v>
      </c>
    </row>
    <row r="17" spans="1:9" x14ac:dyDescent="0.35">
      <c r="A17" s="1" t="s">
        <v>24</v>
      </c>
      <c r="B17"/>
      <c r="C17" s="1" t="s">
        <v>169</v>
      </c>
      <c r="D17" s="1" t="s">
        <v>174</v>
      </c>
      <c r="E17" s="1">
        <v>92443</v>
      </c>
      <c r="F17" s="13">
        <v>42113</v>
      </c>
      <c r="G17" s="1">
        <v>3</v>
      </c>
      <c r="H17" s="1" t="s">
        <v>179</v>
      </c>
      <c r="I17" s="1" t="s">
        <v>195</v>
      </c>
    </row>
    <row r="18" spans="1:9" x14ac:dyDescent="0.35">
      <c r="A18" s="1" t="s">
        <v>25</v>
      </c>
      <c r="B18" s="1" t="s">
        <v>165</v>
      </c>
      <c r="C18"/>
      <c r="D18" s="1" t="s">
        <v>172</v>
      </c>
      <c r="E18" s="1">
        <v>90271</v>
      </c>
      <c r="F18" s="13">
        <v>42120</v>
      </c>
      <c r="G18"/>
      <c r="H18"/>
      <c r="I18" s="1" t="s">
        <v>196</v>
      </c>
    </row>
    <row r="19" spans="1:9" x14ac:dyDescent="0.35">
      <c r="A19" s="1" t="s">
        <v>26</v>
      </c>
      <c r="B19" s="1" t="s">
        <v>162</v>
      </c>
      <c r="C19" s="1" t="s">
        <v>166</v>
      </c>
      <c r="D19" s="1" t="s">
        <v>176</v>
      </c>
      <c r="E19" s="1">
        <v>41341</v>
      </c>
      <c r="F19" s="13">
        <v>42127</v>
      </c>
      <c r="G19" s="1">
        <v>1</v>
      </c>
      <c r="H19" s="1" t="s">
        <v>179</v>
      </c>
      <c r="I19" s="1" t="s">
        <v>197</v>
      </c>
    </row>
    <row r="20" spans="1:9" x14ac:dyDescent="0.35">
      <c r="A20" s="1" t="s">
        <v>27</v>
      </c>
      <c r="B20" s="1" t="s">
        <v>160</v>
      </c>
      <c r="C20" s="1" t="s">
        <v>166</v>
      </c>
      <c r="D20" s="1" t="s">
        <v>175</v>
      </c>
      <c r="E20" s="1">
        <v>73602</v>
      </c>
      <c r="F20" s="13">
        <v>42134</v>
      </c>
      <c r="G20"/>
      <c r="H20"/>
      <c r="I20" s="1" t="s">
        <v>198</v>
      </c>
    </row>
    <row r="21" spans="1:9" x14ac:dyDescent="0.35">
      <c r="A21" s="1" t="s">
        <v>28</v>
      </c>
      <c r="B21" s="1" t="s">
        <v>159</v>
      </c>
      <c r="C21"/>
      <c r="D21" s="1" t="s">
        <v>174</v>
      </c>
      <c r="E21" s="1">
        <v>67531</v>
      </c>
      <c r="F21" s="13">
        <v>42141</v>
      </c>
      <c r="G21" s="1">
        <v>5</v>
      </c>
      <c r="H21" s="1" t="s">
        <v>181</v>
      </c>
      <c r="I21" s="1" t="s">
        <v>199</v>
      </c>
    </row>
    <row r="22" spans="1:9" x14ac:dyDescent="0.35">
      <c r="A22" s="1" t="s">
        <v>29</v>
      </c>
      <c r="B22" s="1" t="s">
        <v>162</v>
      </c>
      <c r="C22" s="1" t="s">
        <v>167</v>
      </c>
      <c r="D22" s="1" t="s">
        <v>173</v>
      </c>
      <c r="E22" s="1" t="s">
        <v>177</v>
      </c>
      <c r="F22" s="13">
        <v>42148</v>
      </c>
      <c r="G22" s="1">
        <v>2</v>
      </c>
      <c r="H22" s="1" t="s">
        <v>179</v>
      </c>
      <c r="I22" s="1" t="s">
        <v>200</v>
      </c>
    </row>
    <row r="23" spans="1:9" x14ac:dyDescent="0.35">
      <c r="A23" s="1" t="s">
        <v>30</v>
      </c>
      <c r="B23" s="1" t="s">
        <v>162</v>
      </c>
      <c r="C23" s="1" t="s">
        <v>167</v>
      </c>
      <c r="D23"/>
      <c r="E23" s="1">
        <v>98922</v>
      </c>
      <c r="F23" s="13">
        <v>42155</v>
      </c>
      <c r="G23" s="1">
        <v>4</v>
      </c>
      <c r="H23"/>
      <c r="I23" s="1" t="s">
        <v>201</v>
      </c>
    </row>
    <row r="24" spans="1:9" x14ac:dyDescent="0.35">
      <c r="A24" s="1" t="s">
        <v>31</v>
      </c>
      <c r="B24" s="1" t="s">
        <v>159</v>
      </c>
      <c r="C24" s="1" t="s">
        <v>166</v>
      </c>
      <c r="D24" s="1" t="s">
        <v>174</v>
      </c>
      <c r="E24" s="1">
        <v>38333</v>
      </c>
      <c r="F24" s="13">
        <v>42162</v>
      </c>
      <c r="G24" s="1">
        <v>5</v>
      </c>
      <c r="H24"/>
      <c r="I24" s="1" t="s">
        <v>202</v>
      </c>
    </row>
    <row r="25" spans="1:9" x14ac:dyDescent="0.35">
      <c r="A25" s="1" t="s">
        <v>32</v>
      </c>
      <c r="B25" s="1" t="s">
        <v>160</v>
      </c>
      <c r="C25" s="1" t="s">
        <v>170</v>
      </c>
      <c r="D25" s="1" t="s">
        <v>175</v>
      </c>
      <c r="E25" s="1">
        <v>36515</v>
      </c>
      <c r="F25" s="13">
        <v>42169</v>
      </c>
      <c r="G25" s="1">
        <v>3</v>
      </c>
      <c r="H25" s="1" t="s">
        <v>180</v>
      </c>
      <c r="I25" s="1" t="s">
        <v>203</v>
      </c>
    </row>
    <row r="26" spans="1:9" x14ac:dyDescent="0.35">
      <c r="A26" s="1" t="s">
        <v>33</v>
      </c>
      <c r="B26" s="1" t="s">
        <v>163</v>
      </c>
      <c r="C26" s="1" t="s">
        <v>166</v>
      </c>
      <c r="D26"/>
      <c r="E26" s="1">
        <v>91005</v>
      </c>
      <c r="F26" s="13">
        <v>42176</v>
      </c>
      <c r="G26" s="1">
        <v>1</v>
      </c>
      <c r="H26" s="1" t="s">
        <v>179</v>
      </c>
      <c r="I26" s="1" t="s">
        <v>204</v>
      </c>
    </row>
    <row r="27" spans="1:9" x14ac:dyDescent="0.35">
      <c r="A27" s="1" t="s">
        <v>34</v>
      </c>
      <c r="B27" s="1" t="s">
        <v>164</v>
      </c>
      <c r="C27"/>
      <c r="D27" s="1" t="s">
        <v>171</v>
      </c>
      <c r="E27" s="1">
        <v>52272</v>
      </c>
      <c r="F27" s="13">
        <v>42183</v>
      </c>
      <c r="G27" s="1">
        <v>3</v>
      </c>
      <c r="H27"/>
      <c r="I27" s="1" t="s">
        <v>205</v>
      </c>
    </row>
    <row r="28" spans="1:9" x14ac:dyDescent="0.35">
      <c r="A28" s="1" t="s">
        <v>35</v>
      </c>
      <c r="B28" s="1" t="s">
        <v>159</v>
      </c>
      <c r="C28" s="1" t="s">
        <v>168</v>
      </c>
      <c r="D28" s="1" t="s">
        <v>172</v>
      </c>
      <c r="E28" s="1">
        <v>76518</v>
      </c>
      <c r="F28" s="13">
        <v>42190</v>
      </c>
      <c r="G28" s="1">
        <v>2</v>
      </c>
      <c r="H28" s="1" t="s">
        <v>181</v>
      </c>
      <c r="I28" s="1" t="s">
        <v>206</v>
      </c>
    </row>
    <row r="29" spans="1:9" x14ac:dyDescent="0.35">
      <c r="A29" s="1" t="s">
        <v>36</v>
      </c>
      <c r="B29" s="1" t="s">
        <v>160</v>
      </c>
      <c r="C29" s="1" t="s">
        <v>169</v>
      </c>
      <c r="D29" s="1" t="s">
        <v>175</v>
      </c>
      <c r="E29" s="1">
        <v>41448</v>
      </c>
      <c r="F29" s="13">
        <v>42197</v>
      </c>
      <c r="G29" s="1">
        <v>3</v>
      </c>
      <c r="H29" s="1" t="s">
        <v>179</v>
      </c>
      <c r="I29" s="1" t="s">
        <v>207</v>
      </c>
    </row>
    <row r="30" spans="1:9" x14ac:dyDescent="0.35">
      <c r="A30" s="1" t="s">
        <v>37</v>
      </c>
      <c r="B30" s="1" t="s">
        <v>161</v>
      </c>
      <c r="C30" s="1" t="s">
        <v>167</v>
      </c>
      <c r="D30" s="1" t="s">
        <v>175</v>
      </c>
      <c r="E30" s="1">
        <v>49282</v>
      </c>
      <c r="F30" s="13">
        <v>42204</v>
      </c>
      <c r="G30" s="1">
        <v>2</v>
      </c>
      <c r="H30" s="1" t="s">
        <v>181</v>
      </c>
      <c r="I30" s="1" t="s">
        <v>208</v>
      </c>
    </row>
    <row r="31" spans="1:9" x14ac:dyDescent="0.35">
      <c r="A31" s="1" t="s">
        <v>38</v>
      </c>
      <c r="B31" s="1" t="s">
        <v>165</v>
      </c>
      <c r="C31" s="1" t="s">
        <v>170</v>
      </c>
      <c r="D31" s="1" t="s">
        <v>175</v>
      </c>
      <c r="E31" s="1">
        <v>92959</v>
      </c>
      <c r="F31" s="13">
        <v>42211</v>
      </c>
      <c r="G31" s="1">
        <v>5</v>
      </c>
      <c r="H31"/>
      <c r="I31" s="1" t="s">
        <v>209</v>
      </c>
    </row>
    <row r="32" spans="1:9" x14ac:dyDescent="0.35">
      <c r="A32" s="1" t="s">
        <v>39</v>
      </c>
      <c r="B32"/>
      <c r="C32" s="1" t="s">
        <v>170</v>
      </c>
      <c r="D32"/>
      <c r="E32" s="1">
        <v>92259</v>
      </c>
      <c r="F32"/>
      <c r="G32" s="1">
        <v>1</v>
      </c>
      <c r="H32" s="1" t="s">
        <v>178</v>
      </c>
      <c r="I32" s="1" t="s">
        <v>210</v>
      </c>
    </row>
    <row r="33" spans="1:9" x14ac:dyDescent="0.35">
      <c r="A33" s="1" t="s">
        <v>40</v>
      </c>
      <c r="B33" s="1" t="s">
        <v>159</v>
      </c>
      <c r="C33" s="1" t="s">
        <v>167</v>
      </c>
      <c r="D33" s="1" t="s">
        <v>172</v>
      </c>
      <c r="E33" s="1">
        <v>92299</v>
      </c>
      <c r="F33" s="13">
        <v>42225</v>
      </c>
      <c r="G33" s="1">
        <v>3</v>
      </c>
      <c r="H33" s="1" t="s">
        <v>180</v>
      </c>
      <c r="I33" s="1" t="s">
        <v>211</v>
      </c>
    </row>
    <row r="34" spans="1:9" x14ac:dyDescent="0.35">
      <c r="A34" s="1" t="s">
        <v>41</v>
      </c>
      <c r="B34" s="1" t="s">
        <v>163</v>
      </c>
      <c r="C34" s="1" t="s">
        <v>167</v>
      </c>
      <c r="D34"/>
      <c r="E34" s="1">
        <v>95586</v>
      </c>
      <c r="F34" s="13">
        <v>42232</v>
      </c>
      <c r="G34" s="1">
        <v>3</v>
      </c>
      <c r="H34" s="1" t="s">
        <v>179</v>
      </c>
      <c r="I34" s="1" t="s">
        <v>212</v>
      </c>
    </row>
    <row r="35" spans="1:9" x14ac:dyDescent="0.35">
      <c r="A35" s="1" t="s">
        <v>42</v>
      </c>
      <c r="B35" s="1" t="s">
        <v>164</v>
      </c>
      <c r="C35"/>
      <c r="D35" s="1" t="s">
        <v>173</v>
      </c>
      <c r="E35" s="1">
        <v>95367</v>
      </c>
      <c r="F35" s="13">
        <v>42239</v>
      </c>
      <c r="G35"/>
      <c r="H35" s="1" t="s">
        <v>180</v>
      </c>
      <c r="I35" s="1" t="s">
        <v>213</v>
      </c>
    </row>
    <row r="36" spans="1:9" x14ac:dyDescent="0.35">
      <c r="A36" s="1" t="s">
        <v>43</v>
      </c>
      <c r="B36" s="1" t="s">
        <v>161</v>
      </c>
      <c r="C36" s="1" t="s">
        <v>168</v>
      </c>
      <c r="D36" s="1" t="s">
        <v>176</v>
      </c>
      <c r="E36" s="1">
        <v>79549</v>
      </c>
      <c r="F36" s="13">
        <v>42246</v>
      </c>
      <c r="G36" s="1">
        <v>3</v>
      </c>
      <c r="H36"/>
      <c r="I36" s="1" t="s">
        <v>214</v>
      </c>
    </row>
    <row r="37" spans="1:9" x14ac:dyDescent="0.35">
      <c r="A37" s="1" t="s">
        <v>44</v>
      </c>
      <c r="B37" s="1" t="s">
        <v>160</v>
      </c>
      <c r="C37"/>
      <c r="D37" s="1" t="s">
        <v>175</v>
      </c>
      <c r="E37" s="1">
        <v>54463</v>
      </c>
      <c r="F37" s="13">
        <v>42253</v>
      </c>
      <c r="G37" s="1">
        <v>4</v>
      </c>
      <c r="H37" s="1" t="s">
        <v>180</v>
      </c>
      <c r="I37" s="1" t="s">
        <v>182</v>
      </c>
    </row>
    <row r="38" spans="1:9" x14ac:dyDescent="0.35">
      <c r="A38" s="1" t="s">
        <v>45</v>
      </c>
      <c r="B38" s="1" t="s">
        <v>160</v>
      </c>
      <c r="C38" s="1" t="s">
        <v>169</v>
      </c>
      <c r="D38" s="1" t="s">
        <v>173</v>
      </c>
      <c r="E38" s="1">
        <v>89781</v>
      </c>
      <c r="F38" s="13">
        <v>42260</v>
      </c>
      <c r="G38"/>
      <c r="H38" s="1" t="s">
        <v>181</v>
      </c>
      <c r="I38" s="1" t="s">
        <v>215</v>
      </c>
    </row>
    <row r="39" spans="1:9" x14ac:dyDescent="0.35">
      <c r="A39" s="1" t="s">
        <v>46</v>
      </c>
      <c r="B39" s="1" t="s">
        <v>160</v>
      </c>
      <c r="C39" s="1" t="s">
        <v>167</v>
      </c>
      <c r="D39"/>
      <c r="E39" s="1">
        <v>64796</v>
      </c>
      <c r="F39" s="13">
        <v>42267</v>
      </c>
      <c r="G39"/>
      <c r="H39" s="1" t="s">
        <v>179</v>
      </c>
      <c r="I39" s="1" t="s">
        <v>216</v>
      </c>
    </row>
    <row r="40" spans="1:9" x14ac:dyDescent="0.35">
      <c r="A40" s="1" t="s">
        <v>47</v>
      </c>
      <c r="B40" s="1" t="s">
        <v>161</v>
      </c>
      <c r="C40" s="1" t="s">
        <v>170</v>
      </c>
      <c r="D40" s="1" t="s">
        <v>175</v>
      </c>
      <c r="E40" s="1">
        <v>52093</v>
      </c>
      <c r="F40" s="13">
        <v>42274</v>
      </c>
      <c r="G40" s="1">
        <v>5</v>
      </c>
      <c r="H40"/>
      <c r="I40" s="1" t="s">
        <v>217</v>
      </c>
    </row>
    <row r="41" spans="1:9" x14ac:dyDescent="0.35">
      <c r="A41" s="1" t="s">
        <v>48</v>
      </c>
      <c r="B41" s="1" t="s">
        <v>164</v>
      </c>
      <c r="C41" s="1" t="s">
        <v>167</v>
      </c>
      <c r="D41" s="1" t="s">
        <v>175</v>
      </c>
      <c r="E41" s="1">
        <v>48224</v>
      </c>
      <c r="F41" s="13">
        <v>42281</v>
      </c>
      <c r="G41" s="1">
        <v>3</v>
      </c>
      <c r="H41"/>
      <c r="I41" s="1" t="s">
        <v>218</v>
      </c>
    </row>
    <row r="42" spans="1:9" x14ac:dyDescent="0.35">
      <c r="A42" s="1" t="s">
        <v>49</v>
      </c>
      <c r="B42" s="1" t="s">
        <v>165</v>
      </c>
      <c r="C42" s="1" t="s">
        <v>166</v>
      </c>
      <c r="D42" s="1" t="s">
        <v>175</v>
      </c>
      <c r="E42" s="1" t="s">
        <v>177</v>
      </c>
      <c r="F42"/>
      <c r="G42" s="1">
        <v>4</v>
      </c>
      <c r="H42" s="1" t="s">
        <v>181</v>
      </c>
      <c r="I42" s="1" t="s">
        <v>219</v>
      </c>
    </row>
    <row r="43" spans="1:9" x14ac:dyDescent="0.35">
      <c r="A43" s="1" t="s">
        <v>50</v>
      </c>
      <c r="B43" s="1" t="s">
        <v>160</v>
      </c>
      <c r="C43" s="1" t="s">
        <v>169</v>
      </c>
      <c r="D43" s="1" t="s">
        <v>172</v>
      </c>
      <c r="E43" s="1">
        <v>33956</v>
      </c>
      <c r="F43" s="13">
        <v>42295</v>
      </c>
      <c r="G43"/>
      <c r="H43"/>
      <c r="I43" s="1" t="s">
        <v>220</v>
      </c>
    </row>
    <row r="44" spans="1:9" x14ac:dyDescent="0.35">
      <c r="A44" s="1" t="s">
        <v>51</v>
      </c>
      <c r="B44" s="1" t="s">
        <v>165</v>
      </c>
      <c r="C44"/>
      <c r="D44" s="1" t="s">
        <v>176</v>
      </c>
      <c r="E44" s="1">
        <v>64913</v>
      </c>
      <c r="F44" s="13">
        <v>42302</v>
      </c>
      <c r="G44" s="1">
        <v>1</v>
      </c>
      <c r="H44" s="1" t="s">
        <v>181</v>
      </c>
      <c r="I44" s="1" t="s">
        <v>221</v>
      </c>
    </row>
    <row r="45" spans="1:9" x14ac:dyDescent="0.35">
      <c r="A45" s="1" t="s">
        <v>52</v>
      </c>
      <c r="B45" s="1" t="s">
        <v>160</v>
      </c>
      <c r="C45" s="1" t="s">
        <v>170</v>
      </c>
      <c r="D45" s="1" t="s">
        <v>176</v>
      </c>
      <c r="E45" s="1">
        <v>35326</v>
      </c>
      <c r="F45" s="13">
        <v>42309</v>
      </c>
      <c r="G45"/>
      <c r="H45" s="1" t="s">
        <v>181</v>
      </c>
      <c r="I45" s="1" t="s">
        <v>222</v>
      </c>
    </row>
    <row r="46" spans="1:9" x14ac:dyDescent="0.35">
      <c r="A46" s="1" t="s">
        <v>53</v>
      </c>
      <c r="B46" s="1" t="s">
        <v>164</v>
      </c>
      <c r="C46" s="1" t="s">
        <v>166</v>
      </c>
      <c r="D46"/>
      <c r="E46" s="1">
        <v>81610</v>
      </c>
      <c r="F46" s="13">
        <v>42316</v>
      </c>
      <c r="G46" s="1">
        <v>1</v>
      </c>
      <c r="H46"/>
      <c r="I46" s="1" t="s">
        <v>223</v>
      </c>
    </row>
    <row r="47" spans="1:9" x14ac:dyDescent="0.35">
      <c r="A47" s="1" t="s">
        <v>54</v>
      </c>
      <c r="B47"/>
      <c r="C47" s="1" t="s">
        <v>167</v>
      </c>
      <c r="D47"/>
      <c r="E47" s="1">
        <v>58962</v>
      </c>
      <c r="F47" s="13">
        <v>42323</v>
      </c>
      <c r="G47" s="1">
        <v>3</v>
      </c>
      <c r="H47" s="1" t="s">
        <v>179</v>
      </c>
      <c r="I47" s="1" t="s">
        <v>183</v>
      </c>
    </row>
    <row r="48" spans="1:9" x14ac:dyDescent="0.35">
      <c r="A48" s="1" t="s">
        <v>55</v>
      </c>
      <c r="B48" s="1" t="s">
        <v>164</v>
      </c>
      <c r="C48" s="1" t="s">
        <v>169</v>
      </c>
      <c r="D48" s="1" t="s">
        <v>172</v>
      </c>
      <c r="E48" s="1">
        <v>92701</v>
      </c>
      <c r="F48" s="13">
        <v>42330</v>
      </c>
      <c r="G48" s="1">
        <v>3</v>
      </c>
      <c r="H48" s="1" t="s">
        <v>179</v>
      </c>
      <c r="I48" s="1" t="s">
        <v>224</v>
      </c>
    </row>
    <row r="49" spans="1:9" x14ac:dyDescent="0.35">
      <c r="A49" s="1" t="s">
        <v>56</v>
      </c>
      <c r="B49" s="1" t="s">
        <v>164</v>
      </c>
      <c r="C49" s="1" t="s">
        <v>167</v>
      </c>
      <c r="D49" s="1" t="s">
        <v>174</v>
      </c>
      <c r="E49" s="1">
        <v>58245</v>
      </c>
      <c r="F49" s="13">
        <v>42337</v>
      </c>
      <c r="G49" s="1">
        <v>4</v>
      </c>
      <c r="H49"/>
      <c r="I49" s="1" t="s">
        <v>225</v>
      </c>
    </row>
    <row r="50" spans="1:9" x14ac:dyDescent="0.35">
      <c r="A50" s="1" t="s">
        <v>57</v>
      </c>
      <c r="B50" s="1" t="s">
        <v>161</v>
      </c>
      <c r="C50" s="1" t="s">
        <v>166</v>
      </c>
      <c r="D50"/>
      <c r="E50" s="1">
        <v>66513</v>
      </c>
      <c r="F50" s="13">
        <v>42344</v>
      </c>
      <c r="G50" s="1">
        <v>2</v>
      </c>
      <c r="H50" s="1" t="s">
        <v>179</v>
      </c>
      <c r="I50" s="1" t="s">
        <v>187</v>
      </c>
    </row>
    <row r="51" spans="1:9" x14ac:dyDescent="0.35">
      <c r="A51" s="1" t="s">
        <v>58</v>
      </c>
      <c r="B51" s="1" t="s">
        <v>159</v>
      </c>
      <c r="C51" s="1" t="s">
        <v>167</v>
      </c>
      <c r="D51" s="1" t="s">
        <v>172</v>
      </c>
      <c r="E51" s="1">
        <v>78720</v>
      </c>
      <c r="F51" s="13">
        <v>42351</v>
      </c>
      <c r="G51" s="1">
        <v>5</v>
      </c>
      <c r="H51" s="1" t="s">
        <v>181</v>
      </c>
      <c r="I51" s="1" t="s">
        <v>219</v>
      </c>
    </row>
    <row r="52" spans="1:9" x14ac:dyDescent="0.35">
      <c r="A52" s="1" t="s">
        <v>59</v>
      </c>
      <c r="B52" s="1" t="s">
        <v>164</v>
      </c>
      <c r="C52"/>
      <c r="D52" s="1" t="s">
        <v>171</v>
      </c>
      <c r="E52" s="1">
        <v>30686</v>
      </c>
      <c r="F52"/>
      <c r="G52" s="1">
        <v>2</v>
      </c>
      <c r="H52" s="1" t="s">
        <v>181</v>
      </c>
      <c r="I52" s="1" t="s">
        <v>226</v>
      </c>
    </row>
    <row r="53" spans="1:9" x14ac:dyDescent="0.35">
      <c r="A53" s="1" t="s">
        <v>60</v>
      </c>
      <c r="B53" s="1" t="s">
        <v>163</v>
      </c>
      <c r="C53" s="1" t="s">
        <v>168</v>
      </c>
      <c r="D53" s="1" t="s">
        <v>174</v>
      </c>
      <c r="E53" s="1">
        <v>39423</v>
      </c>
      <c r="F53" s="13">
        <v>42365</v>
      </c>
      <c r="G53" s="1">
        <v>5</v>
      </c>
      <c r="H53"/>
      <c r="I53" s="1" t="s">
        <v>227</v>
      </c>
    </row>
    <row r="54" spans="1:9" x14ac:dyDescent="0.35">
      <c r="A54" s="1" t="s">
        <v>61</v>
      </c>
      <c r="B54" s="1" t="s">
        <v>159</v>
      </c>
      <c r="C54" s="1" t="s">
        <v>170</v>
      </c>
      <c r="D54"/>
      <c r="E54" s="1">
        <v>30280</v>
      </c>
      <c r="F54" s="13">
        <v>42372</v>
      </c>
      <c r="G54" s="1">
        <v>1</v>
      </c>
      <c r="H54"/>
      <c r="I54" s="1" t="s">
        <v>228</v>
      </c>
    </row>
    <row r="55" spans="1:9" x14ac:dyDescent="0.35">
      <c r="A55" s="1" t="s">
        <v>62</v>
      </c>
      <c r="B55" s="1" t="s">
        <v>159</v>
      </c>
      <c r="C55" s="1" t="s">
        <v>166</v>
      </c>
      <c r="D55" s="1" t="s">
        <v>175</v>
      </c>
      <c r="E55" s="1">
        <v>33352</v>
      </c>
      <c r="F55" s="13">
        <v>42379</v>
      </c>
      <c r="G55" s="1">
        <v>3</v>
      </c>
      <c r="H55" s="1" t="s">
        <v>181</v>
      </c>
      <c r="I55" s="1" t="s">
        <v>200</v>
      </c>
    </row>
    <row r="56" spans="1:9" x14ac:dyDescent="0.35">
      <c r="A56" s="1" t="s">
        <v>63</v>
      </c>
      <c r="B56" s="1" t="s">
        <v>165</v>
      </c>
      <c r="C56" s="1" t="s">
        <v>170</v>
      </c>
      <c r="D56" s="1" t="s">
        <v>175</v>
      </c>
      <c r="E56" s="1">
        <v>75633</v>
      </c>
      <c r="F56" s="13">
        <v>42386</v>
      </c>
      <c r="G56" s="1">
        <v>5</v>
      </c>
      <c r="H56" s="1" t="s">
        <v>179</v>
      </c>
      <c r="I56" s="1" t="s">
        <v>229</v>
      </c>
    </row>
    <row r="57" spans="1:9" x14ac:dyDescent="0.35">
      <c r="A57" s="1" t="s">
        <v>64</v>
      </c>
      <c r="B57" s="1" t="s">
        <v>164</v>
      </c>
      <c r="C57"/>
      <c r="D57" s="1" t="s">
        <v>173</v>
      </c>
      <c r="E57" s="1">
        <v>74815</v>
      </c>
      <c r="F57" s="13">
        <v>42393</v>
      </c>
      <c r="G57" s="1">
        <v>5</v>
      </c>
      <c r="H57" s="1" t="s">
        <v>181</v>
      </c>
      <c r="I57" s="1" t="s">
        <v>230</v>
      </c>
    </row>
    <row r="58" spans="1:9" x14ac:dyDescent="0.35">
      <c r="A58" s="1" t="s">
        <v>65</v>
      </c>
      <c r="B58" s="1" t="s">
        <v>161</v>
      </c>
      <c r="C58" s="1" t="s">
        <v>168</v>
      </c>
      <c r="D58" s="1" t="s">
        <v>176</v>
      </c>
      <c r="E58" s="1">
        <v>60011</v>
      </c>
      <c r="F58" s="13">
        <v>42400</v>
      </c>
      <c r="G58" s="1">
        <v>1</v>
      </c>
      <c r="H58" s="1" t="s">
        <v>180</v>
      </c>
      <c r="I58" s="1" t="s">
        <v>231</v>
      </c>
    </row>
    <row r="59" spans="1:9" x14ac:dyDescent="0.35">
      <c r="A59" s="1" t="s">
        <v>66</v>
      </c>
      <c r="B59" s="1" t="s">
        <v>159</v>
      </c>
      <c r="C59"/>
      <c r="D59" s="1" t="s">
        <v>174</v>
      </c>
      <c r="E59" s="1">
        <v>96949</v>
      </c>
      <c r="F59" s="13">
        <v>42407</v>
      </c>
      <c r="G59" s="1">
        <v>3</v>
      </c>
      <c r="H59"/>
      <c r="I59" s="1" t="s">
        <v>207</v>
      </c>
    </row>
    <row r="60" spans="1:9" x14ac:dyDescent="0.35">
      <c r="A60" s="1" t="s">
        <v>67</v>
      </c>
      <c r="B60" s="1" t="s">
        <v>163</v>
      </c>
      <c r="C60" s="1" t="s">
        <v>170</v>
      </c>
      <c r="D60"/>
      <c r="E60" s="1">
        <v>84924</v>
      </c>
      <c r="F60" s="13">
        <v>42414</v>
      </c>
      <c r="G60" s="1">
        <v>5</v>
      </c>
      <c r="H60" s="1" t="s">
        <v>180</v>
      </c>
      <c r="I60" s="1" t="s">
        <v>232</v>
      </c>
    </row>
    <row r="61" spans="1:9" x14ac:dyDescent="0.35">
      <c r="A61" s="1" t="s">
        <v>68</v>
      </c>
      <c r="B61" s="1" t="s">
        <v>163</v>
      </c>
      <c r="C61" s="1" t="s">
        <v>166</v>
      </c>
      <c r="D61" s="1" t="s">
        <v>173</v>
      </c>
      <c r="E61" s="1">
        <v>82033</v>
      </c>
      <c r="F61" s="13">
        <v>42421</v>
      </c>
      <c r="G61" s="1">
        <v>1</v>
      </c>
      <c r="H61"/>
      <c r="I61" s="1" t="s">
        <v>223</v>
      </c>
    </row>
    <row r="62" spans="1:9" x14ac:dyDescent="0.35">
      <c r="A62" s="1" t="s">
        <v>69</v>
      </c>
      <c r="B62"/>
      <c r="C62" s="1" t="s">
        <v>170</v>
      </c>
      <c r="D62" s="1" t="s">
        <v>172</v>
      </c>
      <c r="E62" s="1" t="s">
        <v>177</v>
      </c>
      <c r="F62"/>
      <c r="G62" s="1">
        <v>5</v>
      </c>
      <c r="H62" s="1" t="s">
        <v>178</v>
      </c>
      <c r="I62" s="1" t="s">
        <v>233</v>
      </c>
    </row>
    <row r="63" spans="1:9" x14ac:dyDescent="0.35">
      <c r="A63" s="1" t="s">
        <v>70</v>
      </c>
      <c r="B63" s="1" t="s">
        <v>159</v>
      </c>
      <c r="C63"/>
      <c r="D63" s="1" t="s">
        <v>176</v>
      </c>
      <c r="E63" s="1">
        <v>31499</v>
      </c>
      <c r="F63" s="13">
        <v>42435</v>
      </c>
      <c r="G63" s="1">
        <v>2</v>
      </c>
      <c r="H63"/>
      <c r="I63" s="1" t="s">
        <v>215</v>
      </c>
    </row>
    <row r="64" spans="1:9" x14ac:dyDescent="0.35">
      <c r="A64" s="1" t="s">
        <v>71</v>
      </c>
      <c r="B64" s="1" t="s">
        <v>164</v>
      </c>
      <c r="C64" s="1" t="s">
        <v>169</v>
      </c>
      <c r="D64" s="1" t="s">
        <v>175</v>
      </c>
      <c r="E64" s="1">
        <v>97981</v>
      </c>
      <c r="F64" s="13">
        <v>42442</v>
      </c>
      <c r="G64" s="1">
        <v>5</v>
      </c>
      <c r="H64" s="1" t="s">
        <v>181</v>
      </c>
      <c r="I64" s="1" t="s">
        <v>234</v>
      </c>
    </row>
    <row r="65" spans="1:9" x14ac:dyDescent="0.35">
      <c r="A65" s="1" t="s">
        <v>72</v>
      </c>
      <c r="B65" s="1" t="s">
        <v>159</v>
      </c>
      <c r="C65" s="1" t="s">
        <v>167</v>
      </c>
      <c r="D65" s="1" t="s">
        <v>173</v>
      </c>
      <c r="E65" s="1">
        <v>36541</v>
      </c>
      <c r="F65" s="13">
        <v>42449</v>
      </c>
      <c r="G65" s="1">
        <v>2</v>
      </c>
      <c r="H65" s="1" t="s">
        <v>179</v>
      </c>
      <c r="I65" s="1" t="s">
        <v>235</v>
      </c>
    </row>
    <row r="66" spans="1:9" x14ac:dyDescent="0.35">
      <c r="A66" s="1" t="s">
        <v>73</v>
      </c>
      <c r="B66" s="1" t="s">
        <v>161</v>
      </c>
      <c r="C66" s="1" t="s">
        <v>169</v>
      </c>
      <c r="D66" s="1" t="s">
        <v>174</v>
      </c>
      <c r="E66" s="1">
        <v>84737</v>
      </c>
      <c r="F66" s="13">
        <v>42456</v>
      </c>
      <c r="G66" s="1">
        <v>1</v>
      </c>
      <c r="H66" s="1" t="s">
        <v>180</v>
      </c>
      <c r="I66" s="1" t="s">
        <v>236</v>
      </c>
    </row>
    <row r="67" spans="1:9" x14ac:dyDescent="0.35">
      <c r="A67" s="1" t="s">
        <v>74</v>
      </c>
      <c r="B67" s="1" t="s">
        <v>163</v>
      </c>
      <c r="C67" s="1" t="s">
        <v>166</v>
      </c>
      <c r="D67" s="1" t="s">
        <v>174</v>
      </c>
      <c r="E67" s="1">
        <v>33468</v>
      </c>
      <c r="F67" s="13">
        <v>42463</v>
      </c>
      <c r="G67" s="1">
        <v>4</v>
      </c>
      <c r="H67" s="1" t="s">
        <v>180</v>
      </c>
      <c r="I67" s="1" t="s">
        <v>237</v>
      </c>
    </row>
    <row r="68" spans="1:9" x14ac:dyDescent="0.35">
      <c r="A68" s="1" t="s">
        <v>75</v>
      </c>
      <c r="B68" s="1" t="s">
        <v>163</v>
      </c>
      <c r="C68"/>
      <c r="D68" s="1" t="s">
        <v>176</v>
      </c>
      <c r="E68" s="1">
        <v>96365</v>
      </c>
      <c r="F68" s="13">
        <v>42470</v>
      </c>
      <c r="G68" s="1">
        <v>3</v>
      </c>
      <c r="H68" s="1" t="s">
        <v>179</v>
      </c>
      <c r="I68" s="1" t="s">
        <v>238</v>
      </c>
    </row>
    <row r="69" spans="1:9" x14ac:dyDescent="0.35">
      <c r="A69" s="1" t="s">
        <v>76</v>
      </c>
      <c r="B69" s="1" t="s">
        <v>160</v>
      </c>
      <c r="C69" s="1" t="s">
        <v>168</v>
      </c>
      <c r="D69" s="1" t="s">
        <v>174</v>
      </c>
      <c r="E69" s="1">
        <v>61942</v>
      </c>
      <c r="F69" s="13">
        <v>42477</v>
      </c>
      <c r="G69" s="1">
        <v>3</v>
      </c>
      <c r="H69" s="1" t="s">
        <v>181</v>
      </c>
      <c r="I69" s="1" t="s">
        <v>239</v>
      </c>
    </row>
    <row r="70" spans="1:9" x14ac:dyDescent="0.35">
      <c r="A70" s="1" t="s">
        <v>77</v>
      </c>
      <c r="B70" s="1" t="s">
        <v>163</v>
      </c>
      <c r="C70" s="1" t="s">
        <v>166</v>
      </c>
      <c r="D70" s="1" t="s">
        <v>175</v>
      </c>
      <c r="E70" s="1">
        <v>41467</v>
      </c>
      <c r="F70" s="13">
        <v>42484</v>
      </c>
      <c r="G70" s="1">
        <v>2</v>
      </c>
      <c r="H70"/>
      <c r="I70" s="1" t="s">
        <v>201</v>
      </c>
    </row>
    <row r="71" spans="1:9" x14ac:dyDescent="0.35">
      <c r="A71" s="1" t="s">
        <v>78</v>
      </c>
      <c r="B71" s="1" t="s">
        <v>165</v>
      </c>
      <c r="C71" s="1" t="s">
        <v>166</v>
      </c>
      <c r="D71" s="1" t="s">
        <v>174</v>
      </c>
      <c r="E71" s="1">
        <v>77096</v>
      </c>
      <c r="F71" s="13">
        <v>42491</v>
      </c>
      <c r="G71" s="1">
        <v>1</v>
      </c>
      <c r="H71"/>
      <c r="I71" s="1" t="s">
        <v>240</v>
      </c>
    </row>
    <row r="72" spans="1:9" x14ac:dyDescent="0.35">
      <c r="A72" s="1" t="s">
        <v>79</v>
      </c>
      <c r="B72" s="1" t="s">
        <v>159</v>
      </c>
      <c r="C72" s="1" t="s">
        <v>168</v>
      </c>
      <c r="D72" s="1" t="s">
        <v>176</v>
      </c>
      <c r="E72" s="1">
        <v>69952</v>
      </c>
      <c r="F72" s="13">
        <v>42498</v>
      </c>
      <c r="G72" s="1">
        <v>5</v>
      </c>
      <c r="H72" s="1" t="s">
        <v>181</v>
      </c>
      <c r="I72" s="1" t="s">
        <v>182</v>
      </c>
    </row>
    <row r="73" spans="1:9" x14ac:dyDescent="0.35">
      <c r="A73" s="1" t="s">
        <v>80</v>
      </c>
      <c r="B73" s="1" t="s">
        <v>159</v>
      </c>
      <c r="C73" s="1" t="s">
        <v>170</v>
      </c>
      <c r="D73" s="1" t="s">
        <v>173</v>
      </c>
      <c r="E73" s="1">
        <v>85065</v>
      </c>
      <c r="F73" s="13">
        <v>42505</v>
      </c>
      <c r="G73" s="1">
        <v>3</v>
      </c>
      <c r="H73"/>
      <c r="I73" s="1" t="s">
        <v>241</v>
      </c>
    </row>
    <row r="74" spans="1:9" x14ac:dyDescent="0.35">
      <c r="A74" s="1" t="s">
        <v>81</v>
      </c>
      <c r="B74" s="1" t="s">
        <v>165</v>
      </c>
      <c r="C74" s="1" t="s">
        <v>170</v>
      </c>
      <c r="D74" s="1" t="s">
        <v>174</v>
      </c>
      <c r="E74" s="1">
        <v>56512</v>
      </c>
      <c r="F74" s="13">
        <v>42512</v>
      </c>
      <c r="G74"/>
      <c r="H74" s="1" t="s">
        <v>179</v>
      </c>
      <c r="I74" s="1" t="s">
        <v>190</v>
      </c>
    </row>
    <row r="75" spans="1:9" x14ac:dyDescent="0.35">
      <c r="A75" s="1" t="s">
        <v>82</v>
      </c>
      <c r="B75" s="1" t="s">
        <v>161</v>
      </c>
      <c r="C75" s="1" t="s">
        <v>168</v>
      </c>
      <c r="D75" s="1" t="s">
        <v>174</v>
      </c>
      <c r="E75" s="1">
        <v>91101</v>
      </c>
      <c r="F75" s="13">
        <v>42519</v>
      </c>
      <c r="G75" s="1">
        <v>4</v>
      </c>
      <c r="H75" s="1" t="s">
        <v>181</v>
      </c>
      <c r="I75" s="1" t="s">
        <v>234</v>
      </c>
    </row>
    <row r="76" spans="1:9" x14ac:dyDescent="0.35">
      <c r="A76" s="1" t="s">
        <v>83</v>
      </c>
      <c r="B76" s="1" t="s">
        <v>163</v>
      </c>
      <c r="C76"/>
      <c r="D76" s="1" t="s">
        <v>172</v>
      </c>
      <c r="E76" s="1">
        <v>41243</v>
      </c>
      <c r="F76" s="13">
        <v>42526</v>
      </c>
      <c r="G76"/>
      <c r="H76"/>
      <c r="I76" s="1" t="s">
        <v>211</v>
      </c>
    </row>
    <row r="77" spans="1:9" x14ac:dyDescent="0.35">
      <c r="A77" s="1" t="s">
        <v>84</v>
      </c>
      <c r="B77"/>
      <c r="C77" s="1" t="s">
        <v>168</v>
      </c>
      <c r="D77" s="1" t="s">
        <v>171</v>
      </c>
      <c r="E77" s="1">
        <v>96142</v>
      </c>
      <c r="F77" s="13">
        <v>42533</v>
      </c>
      <c r="G77" s="1">
        <v>1</v>
      </c>
      <c r="H77" s="1" t="s">
        <v>179</v>
      </c>
      <c r="I77" s="1" t="s">
        <v>242</v>
      </c>
    </row>
    <row r="78" spans="1:9" x14ac:dyDescent="0.35">
      <c r="A78" s="1" t="s">
        <v>85</v>
      </c>
      <c r="B78" s="1" t="s">
        <v>159</v>
      </c>
      <c r="C78" s="1" t="s">
        <v>169</v>
      </c>
      <c r="D78" s="1" t="s">
        <v>174</v>
      </c>
      <c r="E78" s="1">
        <v>94301</v>
      </c>
      <c r="F78" s="13">
        <v>42540</v>
      </c>
      <c r="G78" s="1">
        <v>1</v>
      </c>
      <c r="H78" s="1" t="s">
        <v>180</v>
      </c>
      <c r="I78" s="1" t="s">
        <v>223</v>
      </c>
    </row>
    <row r="79" spans="1:9" x14ac:dyDescent="0.35">
      <c r="A79" s="1" t="s">
        <v>86</v>
      </c>
      <c r="B79" s="1" t="s">
        <v>162</v>
      </c>
      <c r="C79"/>
      <c r="D79" s="1" t="s">
        <v>175</v>
      </c>
      <c r="E79" s="1">
        <v>69166</v>
      </c>
      <c r="F79" s="13">
        <v>42547</v>
      </c>
      <c r="G79" s="1">
        <v>1</v>
      </c>
      <c r="H79" s="1" t="s">
        <v>181</v>
      </c>
      <c r="I79" s="1" t="s">
        <v>243</v>
      </c>
    </row>
    <row r="80" spans="1:9" x14ac:dyDescent="0.35">
      <c r="A80" s="1" t="s">
        <v>87</v>
      </c>
      <c r="B80" s="1" t="s">
        <v>163</v>
      </c>
      <c r="C80"/>
      <c r="D80" s="1" t="s">
        <v>175</v>
      </c>
      <c r="E80" s="1">
        <v>78245</v>
      </c>
      <c r="F80" s="13">
        <v>42554</v>
      </c>
      <c r="G80" s="1">
        <v>2</v>
      </c>
      <c r="H80"/>
      <c r="I80" s="1" t="s">
        <v>244</v>
      </c>
    </row>
    <row r="81" spans="1:9" x14ac:dyDescent="0.35">
      <c r="A81" s="1" t="s">
        <v>88</v>
      </c>
      <c r="B81" s="1" t="s">
        <v>164</v>
      </c>
      <c r="C81" s="1" t="s">
        <v>168</v>
      </c>
      <c r="D81" s="1" t="s">
        <v>173</v>
      </c>
      <c r="E81" s="1">
        <v>66079</v>
      </c>
      <c r="F81" s="13">
        <v>42561</v>
      </c>
      <c r="G81" s="1">
        <v>2</v>
      </c>
      <c r="H81" s="1" t="s">
        <v>179</v>
      </c>
      <c r="I81" s="1" t="s">
        <v>245</v>
      </c>
    </row>
    <row r="82" spans="1:9" x14ac:dyDescent="0.35">
      <c r="A82" s="1" t="s">
        <v>89</v>
      </c>
      <c r="B82" s="1" t="s">
        <v>159</v>
      </c>
      <c r="C82" s="1" t="s">
        <v>170</v>
      </c>
      <c r="D82" s="1" t="s">
        <v>174</v>
      </c>
      <c r="E82" s="1" t="s">
        <v>177</v>
      </c>
      <c r="F82"/>
      <c r="G82"/>
      <c r="H82"/>
      <c r="I82" s="1" t="s">
        <v>208</v>
      </c>
    </row>
    <row r="83" spans="1:9" x14ac:dyDescent="0.35">
      <c r="A83" s="1" t="s">
        <v>90</v>
      </c>
      <c r="B83" s="1" t="s">
        <v>162</v>
      </c>
      <c r="C83" s="1" t="s">
        <v>168</v>
      </c>
      <c r="D83" s="1" t="s">
        <v>173</v>
      </c>
      <c r="E83" s="1">
        <v>95621</v>
      </c>
      <c r="F83" s="13">
        <v>42575</v>
      </c>
      <c r="G83" s="1">
        <v>3</v>
      </c>
      <c r="H83" s="1" t="s">
        <v>181</v>
      </c>
      <c r="I83" s="1" t="s">
        <v>246</v>
      </c>
    </row>
    <row r="84" spans="1:9" x14ac:dyDescent="0.35">
      <c r="A84" s="1" t="s">
        <v>91</v>
      </c>
      <c r="B84" s="1" t="s">
        <v>159</v>
      </c>
      <c r="C84" s="1" t="s">
        <v>169</v>
      </c>
      <c r="D84" s="1" t="s">
        <v>175</v>
      </c>
      <c r="E84" s="1">
        <v>42262</v>
      </c>
      <c r="F84" s="13">
        <v>42582</v>
      </c>
      <c r="G84" s="1">
        <v>1</v>
      </c>
      <c r="H84"/>
      <c r="I84" s="1" t="s">
        <v>247</v>
      </c>
    </row>
    <row r="85" spans="1:9" x14ac:dyDescent="0.35">
      <c r="A85" s="1" t="s">
        <v>92</v>
      </c>
      <c r="B85" s="1" t="s">
        <v>163</v>
      </c>
      <c r="C85" s="1" t="s">
        <v>168</v>
      </c>
      <c r="D85" s="1" t="s">
        <v>174</v>
      </c>
      <c r="E85" s="1">
        <v>99621</v>
      </c>
      <c r="F85" s="13">
        <v>42589</v>
      </c>
      <c r="G85"/>
      <c r="H85" s="1" t="s">
        <v>179</v>
      </c>
      <c r="I85" s="1" t="s">
        <v>248</v>
      </c>
    </row>
    <row r="86" spans="1:9" x14ac:dyDescent="0.35">
      <c r="A86" s="1" t="s">
        <v>93</v>
      </c>
      <c r="B86" s="1" t="s">
        <v>161</v>
      </c>
      <c r="C86" s="1" t="s">
        <v>170</v>
      </c>
      <c r="D86" s="1" t="s">
        <v>174</v>
      </c>
      <c r="E86" s="1">
        <v>44682</v>
      </c>
      <c r="F86" s="13">
        <v>42596</v>
      </c>
      <c r="G86" s="1">
        <v>4</v>
      </c>
      <c r="H86" s="1" t="s">
        <v>181</v>
      </c>
      <c r="I86" s="1" t="s">
        <v>220</v>
      </c>
    </row>
    <row r="87" spans="1:9" x14ac:dyDescent="0.35">
      <c r="A87" s="1" t="s">
        <v>94</v>
      </c>
      <c r="B87" s="1" t="s">
        <v>164</v>
      </c>
      <c r="C87" s="1" t="s">
        <v>166</v>
      </c>
      <c r="D87"/>
      <c r="E87" s="1">
        <v>35163</v>
      </c>
      <c r="F87" s="13">
        <v>42603</v>
      </c>
      <c r="G87" s="1">
        <v>5</v>
      </c>
      <c r="H87" s="1" t="s">
        <v>179</v>
      </c>
      <c r="I87" s="1" t="s">
        <v>249</v>
      </c>
    </row>
    <row r="88" spans="1:9" x14ac:dyDescent="0.35">
      <c r="A88" s="1" t="s">
        <v>95</v>
      </c>
      <c r="B88" s="1" t="s">
        <v>164</v>
      </c>
      <c r="C88" s="1" t="s">
        <v>169</v>
      </c>
      <c r="D88" s="1" t="s">
        <v>174</v>
      </c>
      <c r="E88" s="1">
        <v>33483</v>
      </c>
      <c r="F88" s="13">
        <v>42610</v>
      </c>
      <c r="G88" s="1">
        <v>4</v>
      </c>
      <c r="H88" s="1" t="s">
        <v>180</v>
      </c>
      <c r="I88" s="1" t="s">
        <v>250</v>
      </c>
    </row>
    <row r="89" spans="1:9" x14ac:dyDescent="0.35">
      <c r="A89" s="1" t="s">
        <v>96</v>
      </c>
      <c r="B89" s="1" t="s">
        <v>163</v>
      </c>
      <c r="C89" s="1" t="s">
        <v>167</v>
      </c>
      <c r="D89" s="1" t="s">
        <v>172</v>
      </c>
      <c r="E89" s="1">
        <v>55303</v>
      </c>
      <c r="F89" s="13">
        <v>42617</v>
      </c>
      <c r="G89" s="1">
        <v>4</v>
      </c>
      <c r="H89" s="1" t="s">
        <v>180</v>
      </c>
      <c r="I89" s="1" t="s">
        <v>203</v>
      </c>
    </row>
    <row r="90" spans="1:9" x14ac:dyDescent="0.35">
      <c r="A90" s="1" t="s">
        <v>97</v>
      </c>
      <c r="B90" s="1" t="s">
        <v>164</v>
      </c>
      <c r="C90" s="1" t="s">
        <v>169</v>
      </c>
      <c r="D90"/>
      <c r="E90" s="1">
        <v>63434</v>
      </c>
      <c r="F90" s="13">
        <v>42624</v>
      </c>
      <c r="G90" s="1">
        <v>3</v>
      </c>
      <c r="H90"/>
      <c r="I90" s="1" t="s">
        <v>251</v>
      </c>
    </row>
    <row r="91" spans="1:9" x14ac:dyDescent="0.35">
      <c r="A91" s="1" t="s">
        <v>98</v>
      </c>
      <c r="B91" s="1" t="s">
        <v>162</v>
      </c>
      <c r="C91"/>
      <c r="D91" s="1" t="s">
        <v>176</v>
      </c>
      <c r="E91" s="1">
        <v>38830</v>
      </c>
      <c r="F91" s="13">
        <v>42631</v>
      </c>
      <c r="G91" s="1">
        <v>3</v>
      </c>
      <c r="H91" s="1" t="s">
        <v>179</v>
      </c>
      <c r="I91" s="1" t="s">
        <v>203</v>
      </c>
    </row>
    <row r="92" spans="1:9" x14ac:dyDescent="0.35">
      <c r="A92" s="1" t="s">
        <v>99</v>
      </c>
      <c r="B92"/>
      <c r="C92" s="1" t="s">
        <v>170</v>
      </c>
      <c r="D92" s="1" t="s">
        <v>175</v>
      </c>
      <c r="E92" s="1">
        <v>50741</v>
      </c>
      <c r="F92" s="13">
        <v>42638</v>
      </c>
      <c r="G92" s="1">
        <v>3</v>
      </c>
      <c r="H92" s="1" t="s">
        <v>178</v>
      </c>
      <c r="I92" s="1" t="s">
        <v>240</v>
      </c>
    </row>
    <row r="93" spans="1:9" x14ac:dyDescent="0.35">
      <c r="A93" s="1" t="s">
        <v>100</v>
      </c>
      <c r="B93" s="1" t="s">
        <v>160</v>
      </c>
      <c r="C93" s="1" t="s">
        <v>167</v>
      </c>
      <c r="D93" s="1" t="s">
        <v>176</v>
      </c>
      <c r="E93" s="1">
        <v>69420</v>
      </c>
      <c r="F93" s="13">
        <v>42645</v>
      </c>
      <c r="G93" s="1">
        <v>1</v>
      </c>
      <c r="H93" s="1" t="s">
        <v>180</v>
      </c>
      <c r="I93" s="1" t="s">
        <v>225</v>
      </c>
    </row>
    <row r="94" spans="1:9" x14ac:dyDescent="0.35">
      <c r="A94" s="1" t="s">
        <v>101</v>
      </c>
      <c r="B94" s="1" t="s">
        <v>162</v>
      </c>
      <c r="C94" s="1" t="s">
        <v>169</v>
      </c>
      <c r="D94"/>
      <c r="E94" s="1">
        <v>80588</v>
      </c>
      <c r="F94" s="13">
        <v>42652</v>
      </c>
      <c r="G94" s="1">
        <v>5</v>
      </c>
      <c r="H94" s="1" t="s">
        <v>180</v>
      </c>
      <c r="I94" s="1" t="s">
        <v>216</v>
      </c>
    </row>
    <row r="95" spans="1:9" x14ac:dyDescent="0.35">
      <c r="A95" s="1" t="s">
        <v>102</v>
      </c>
      <c r="B95" s="1" t="s">
        <v>160</v>
      </c>
      <c r="C95"/>
      <c r="D95" s="1" t="s">
        <v>173</v>
      </c>
      <c r="E95" s="1">
        <v>76238</v>
      </c>
      <c r="F95" s="13">
        <v>42659</v>
      </c>
      <c r="G95" s="1">
        <v>4</v>
      </c>
      <c r="H95" s="1" t="s">
        <v>180</v>
      </c>
      <c r="I95" s="1" t="s">
        <v>252</v>
      </c>
    </row>
    <row r="96" spans="1:9" x14ac:dyDescent="0.35">
      <c r="A96" s="1" t="s">
        <v>103</v>
      </c>
      <c r="B96" s="1" t="s">
        <v>165</v>
      </c>
      <c r="C96" s="1" t="s">
        <v>169</v>
      </c>
      <c r="D96" s="1" t="s">
        <v>174</v>
      </c>
      <c r="E96" s="1">
        <v>33264</v>
      </c>
      <c r="F96" s="13">
        <v>42666</v>
      </c>
      <c r="G96"/>
      <c r="H96" s="1" t="s">
        <v>181</v>
      </c>
      <c r="I96" s="1" t="s">
        <v>253</v>
      </c>
    </row>
    <row r="97" spans="1:9" x14ac:dyDescent="0.35">
      <c r="A97" s="1" t="s">
        <v>104</v>
      </c>
      <c r="B97" s="1" t="s">
        <v>160</v>
      </c>
      <c r="C97" s="1" t="s">
        <v>166</v>
      </c>
      <c r="D97" s="1" t="s">
        <v>176</v>
      </c>
      <c r="E97" s="1">
        <v>96101</v>
      </c>
      <c r="F97" s="13">
        <v>42673</v>
      </c>
      <c r="G97"/>
      <c r="H97" s="1" t="s">
        <v>179</v>
      </c>
      <c r="I97" s="1" t="s">
        <v>254</v>
      </c>
    </row>
    <row r="98" spans="1:9" x14ac:dyDescent="0.35">
      <c r="A98" s="1" t="s">
        <v>105</v>
      </c>
      <c r="B98" s="1" t="s">
        <v>162</v>
      </c>
      <c r="C98" s="1" t="s">
        <v>166</v>
      </c>
      <c r="D98" s="1" t="s">
        <v>173</v>
      </c>
      <c r="E98" s="1">
        <v>72939</v>
      </c>
      <c r="F98" s="13">
        <v>42680</v>
      </c>
      <c r="G98" s="1">
        <v>3</v>
      </c>
      <c r="H98"/>
      <c r="I98" s="1" t="s">
        <v>255</v>
      </c>
    </row>
    <row r="99" spans="1:9" x14ac:dyDescent="0.35">
      <c r="A99" s="1" t="s">
        <v>106</v>
      </c>
      <c r="B99" s="1" t="s">
        <v>163</v>
      </c>
      <c r="C99" s="1" t="s">
        <v>167</v>
      </c>
      <c r="D99" s="1" t="s">
        <v>172</v>
      </c>
      <c r="E99" s="1">
        <v>89333</v>
      </c>
      <c r="F99" s="13">
        <v>42687</v>
      </c>
      <c r="G99" s="1">
        <v>1</v>
      </c>
      <c r="H99" s="1" t="s">
        <v>180</v>
      </c>
      <c r="I99" s="1" t="s">
        <v>256</v>
      </c>
    </row>
    <row r="100" spans="1:9" x14ac:dyDescent="0.35">
      <c r="A100" s="1" t="s">
        <v>107</v>
      </c>
      <c r="B100" s="1" t="s">
        <v>165</v>
      </c>
      <c r="C100" s="1" t="s">
        <v>169</v>
      </c>
      <c r="D100" s="1" t="s">
        <v>176</v>
      </c>
      <c r="E100" s="1">
        <v>70470</v>
      </c>
      <c r="F100" s="13">
        <v>42694</v>
      </c>
      <c r="G100"/>
      <c r="H100" s="1" t="s">
        <v>180</v>
      </c>
      <c r="I100" s="1" t="s">
        <v>257</v>
      </c>
    </row>
    <row r="101" spans="1:9" x14ac:dyDescent="0.35">
      <c r="A101" s="1" t="s">
        <v>108</v>
      </c>
      <c r="B101" s="1" t="s">
        <v>159</v>
      </c>
      <c r="C101" s="1" t="s">
        <v>170</v>
      </c>
      <c r="D101" s="1" t="s">
        <v>173</v>
      </c>
      <c r="E101" s="1">
        <v>70096</v>
      </c>
      <c r="F101" s="13">
        <v>42701</v>
      </c>
      <c r="G101" s="1">
        <v>4</v>
      </c>
      <c r="H101" s="1" t="s">
        <v>180</v>
      </c>
      <c r="I101" s="1" t="s">
        <v>258</v>
      </c>
    </row>
    <row r="102" spans="1:9" x14ac:dyDescent="0.35">
      <c r="A102" s="1" t="s">
        <v>109</v>
      </c>
      <c r="B102" s="1" t="s">
        <v>165</v>
      </c>
      <c r="C102" s="1" t="s">
        <v>170</v>
      </c>
      <c r="D102" s="1" t="s">
        <v>171</v>
      </c>
      <c r="E102" s="1" t="s">
        <v>177</v>
      </c>
      <c r="F102" s="13">
        <v>42708</v>
      </c>
      <c r="G102" s="1">
        <v>2</v>
      </c>
      <c r="H102" s="1" t="s">
        <v>179</v>
      </c>
      <c r="I102" s="1" t="s">
        <v>259</v>
      </c>
    </row>
    <row r="103" spans="1:9" x14ac:dyDescent="0.35">
      <c r="A103" s="1" t="s">
        <v>110</v>
      </c>
      <c r="B103" s="1" t="s">
        <v>165</v>
      </c>
      <c r="C103" s="1" t="s">
        <v>169</v>
      </c>
      <c r="D103" s="1" t="s">
        <v>172</v>
      </c>
      <c r="E103" s="1">
        <v>66503</v>
      </c>
      <c r="F103" s="13">
        <v>42715</v>
      </c>
      <c r="G103"/>
      <c r="H103" s="1" t="s">
        <v>180</v>
      </c>
      <c r="I103" s="1" t="s">
        <v>200</v>
      </c>
    </row>
    <row r="104" spans="1:9" x14ac:dyDescent="0.35">
      <c r="A104" s="1" t="s">
        <v>111</v>
      </c>
      <c r="B104" s="1" t="s">
        <v>160</v>
      </c>
      <c r="C104" s="1" t="s">
        <v>167</v>
      </c>
      <c r="D104" s="1" t="s">
        <v>172</v>
      </c>
      <c r="E104" s="1">
        <v>42096</v>
      </c>
      <c r="F104" s="13">
        <v>42722</v>
      </c>
      <c r="G104"/>
      <c r="H104" s="1" t="s">
        <v>181</v>
      </c>
      <c r="I104" s="1" t="s">
        <v>260</v>
      </c>
    </row>
    <row r="105" spans="1:9" x14ac:dyDescent="0.35">
      <c r="A105" s="1" t="s">
        <v>112</v>
      </c>
      <c r="B105" s="1" t="s">
        <v>160</v>
      </c>
      <c r="C105" s="1" t="s">
        <v>170</v>
      </c>
      <c r="D105"/>
      <c r="E105" s="1">
        <v>79145</v>
      </c>
      <c r="F105" s="13">
        <v>42729</v>
      </c>
      <c r="G105" s="1">
        <v>5</v>
      </c>
      <c r="H105" s="1" t="s">
        <v>179</v>
      </c>
      <c r="I105" s="1" t="s">
        <v>223</v>
      </c>
    </row>
    <row r="106" spans="1:9" x14ac:dyDescent="0.35">
      <c r="A106" s="1" t="s">
        <v>113</v>
      </c>
      <c r="B106" s="1" t="s">
        <v>162</v>
      </c>
      <c r="C106"/>
      <c r="D106" s="1" t="s">
        <v>176</v>
      </c>
      <c r="E106" s="1">
        <v>61556</v>
      </c>
      <c r="F106" s="13">
        <v>42736</v>
      </c>
      <c r="G106" s="1">
        <v>1</v>
      </c>
      <c r="H106"/>
      <c r="I106" s="1" t="s">
        <v>259</v>
      </c>
    </row>
    <row r="107" spans="1:9" x14ac:dyDescent="0.35">
      <c r="A107" s="1" t="s">
        <v>114</v>
      </c>
      <c r="B107"/>
      <c r="C107" s="1" t="s">
        <v>167</v>
      </c>
      <c r="D107" s="1" t="s">
        <v>175</v>
      </c>
      <c r="E107" s="1">
        <v>87963</v>
      </c>
      <c r="F107" s="13">
        <v>42743</v>
      </c>
      <c r="G107" s="1">
        <v>3</v>
      </c>
      <c r="H107" s="1" t="s">
        <v>179</v>
      </c>
      <c r="I107" s="1" t="s">
        <v>182</v>
      </c>
    </row>
    <row r="108" spans="1:9" x14ac:dyDescent="0.35">
      <c r="A108" s="1" t="s">
        <v>115</v>
      </c>
      <c r="B108" s="1" t="s">
        <v>159</v>
      </c>
      <c r="C108" s="1" t="s">
        <v>169</v>
      </c>
      <c r="D108"/>
      <c r="E108" s="1">
        <v>48325</v>
      </c>
      <c r="F108" s="13">
        <v>42750</v>
      </c>
      <c r="G108"/>
      <c r="H108" s="1" t="s">
        <v>180</v>
      </c>
      <c r="I108" s="1" t="s">
        <v>261</v>
      </c>
    </row>
    <row r="109" spans="1:9" x14ac:dyDescent="0.35">
      <c r="A109" s="1" t="s">
        <v>116</v>
      </c>
      <c r="B109" s="1" t="s">
        <v>163</v>
      </c>
      <c r="C109" s="1" t="s">
        <v>170</v>
      </c>
      <c r="D109" s="1" t="s">
        <v>176</v>
      </c>
      <c r="E109" s="1">
        <v>86412</v>
      </c>
      <c r="F109" s="13">
        <v>42757</v>
      </c>
      <c r="G109" s="1">
        <v>2</v>
      </c>
      <c r="H109" s="1" t="s">
        <v>181</v>
      </c>
      <c r="I109" s="1" t="s">
        <v>202</v>
      </c>
    </row>
    <row r="110" spans="1:9" x14ac:dyDescent="0.35">
      <c r="A110" s="1" t="s">
        <v>117</v>
      </c>
      <c r="B110" s="1" t="s">
        <v>163</v>
      </c>
      <c r="C110" s="1" t="s">
        <v>167</v>
      </c>
      <c r="D110"/>
      <c r="E110" s="1">
        <v>66761</v>
      </c>
      <c r="F110" s="13">
        <v>42764</v>
      </c>
      <c r="G110" s="1">
        <v>1</v>
      </c>
      <c r="H110"/>
      <c r="I110" s="1" t="s">
        <v>262</v>
      </c>
    </row>
    <row r="111" spans="1:9" x14ac:dyDescent="0.35">
      <c r="A111" s="1" t="s">
        <v>118</v>
      </c>
      <c r="B111" s="1" t="s">
        <v>162</v>
      </c>
      <c r="C111"/>
      <c r="D111" s="1" t="s">
        <v>174</v>
      </c>
      <c r="E111" s="1">
        <v>88850</v>
      </c>
      <c r="F111" s="13">
        <v>42771</v>
      </c>
      <c r="G111" s="1">
        <v>1</v>
      </c>
      <c r="H111" s="1" t="s">
        <v>181</v>
      </c>
      <c r="I111" s="1" t="s">
        <v>263</v>
      </c>
    </row>
    <row r="112" spans="1:9" x14ac:dyDescent="0.35">
      <c r="A112" s="1" t="s">
        <v>119</v>
      </c>
      <c r="B112" s="1" t="s">
        <v>164</v>
      </c>
      <c r="C112" s="1" t="s">
        <v>168</v>
      </c>
      <c r="D112" s="1" t="s">
        <v>174</v>
      </c>
      <c r="E112" s="1">
        <v>31293</v>
      </c>
      <c r="F112"/>
      <c r="G112" s="1">
        <v>2</v>
      </c>
      <c r="H112" s="1" t="s">
        <v>181</v>
      </c>
      <c r="I112" s="1" t="s">
        <v>264</v>
      </c>
    </row>
    <row r="113" spans="1:9" x14ac:dyDescent="0.35">
      <c r="A113" s="1" t="s">
        <v>120</v>
      </c>
      <c r="B113" s="1" t="s">
        <v>164</v>
      </c>
      <c r="C113" s="1" t="s">
        <v>169</v>
      </c>
      <c r="D113" s="1" t="s">
        <v>173</v>
      </c>
      <c r="E113" s="1">
        <v>34306</v>
      </c>
      <c r="F113" s="13">
        <v>42785</v>
      </c>
      <c r="G113" s="1">
        <v>5</v>
      </c>
      <c r="H113" s="1" t="s">
        <v>181</v>
      </c>
      <c r="I113" s="1" t="s">
        <v>239</v>
      </c>
    </row>
    <row r="114" spans="1:9" x14ac:dyDescent="0.35">
      <c r="A114" s="1" t="s">
        <v>121</v>
      </c>
      <c r="B114" s="1" t="s">
        <v>159</v>
      </c>
      <c r="C114" s="1" t="s">
        <v>166</v>
      </c>
      <c r="D114" s="1" t="s">
        <v>174</v>
      </c>
      <c r="E114" s="1">
        <v>78330</v>
      </c>
      <c r="F114" s="13">
        <v>42792</v>
      </c>
      <c r="G114"/>
      <c r="H114" s="1" t="s">
        <v>179</v>
      </c>
      <c r="I114" s="1" t="s">
        <v>258</v>
      </c>
    </row>
    <row r="115" spans="1:9" x14ac:dyDescent="0.35">
      <c r="A115" s="1" t="s">
        <v>122</v>
      </c>
      <c r="B115" s="1" t="s">
        <v>160</v>
      </c>
      <c r="C115" s="1" t="s">
        <v>169</v>
      </c>
      <c r="D115" s="1" t="s">
        <v>173</v>
      </c>
      <c r="E115" s="1">
        <v>47653</v>
      </c>
      <c r="F115" s="13">
        <v>42799</v>
      </c>
      <c r="G115" s="1">
        <v>1</v>
      </c>
      <c r="H115" s="1" t="s">
        <v>180</v>
      </c>
      <c r="I115" s="1" t="s">
        <v>265</v>
      </c>
    </row>
    <row r="116" spans="1:9" x14ac:dyDescent="0.35">
      <c r="A116" s="1" t="s">
        <v>123</v>
      </c>
      <c r="B116" s="1" t="s">
        <v>159</v>
      </c>
      <c r="C116" s="1" t="s">
        <v>170</v>
      </c>
      <c r="D116" s="1" t="s">
        <v>175</v>
      </c>
      <c r="E116" s="1">
        <v>44627</v>
      </c>
      <c r="F116" s="13">
        <v>42806</v>
      </c>
      <c r="G116" s="1">
        <v>4</v>
      </c>
      <c r="H116"/>
      <c r="I116" s="1" t="s">
        <v>235</v>
      </c>
    </row>
    <row r="117" spans="1:9" x14ac:dyDescent="0.35">
      <c r="A117" s="1" t="s">
        <v>124</v>
      </c>
      <c r="B117" s="1" t="s">
        <v>165</v>
      </c>
      <c r="C117" s="1" t="s">
        <v>167</v>
      </c>
      <c r="D117" s="1" t="s">
        <v>172</v>
      </c>
      <c r="E117" s="1">
        <v>92343</v>
      </c>
      <c r="F117" s="13">
        <v>42813</v>
      </c>
      <c r="G117" s="1">
        <v>4</v>
      </c>
      <c r="H117" s="1" t="s">
        <v>181</v>
      </c>
      <c r="I117" s="1" t="s">
        <v>203</v>
      </c>
    </row>
    <row r="118" spans="1:9" x14ac:dyDescent="0.35">
      <c r="A118" s="1" t="s">
        <v>125</v>
      </c>
      <c r="B118" s="1" t="s">
        <v>165</v>
      </c>
      <c r="C118" s="1" t="s">
        <v>170</v>
      </c>
      <c r="D118" s="1" t="s">
        <v>176</v>
      </c>
      <c r="E118" s="1">
        <v>38837</v>
      </c>
      <c r="F118" s="13">
        <v>42820</v>
      </c>
      <c r="G118" s="1">
        <v>5</v>
      </c>
      <c r="H118" s="1" t="s">
        <v>181</v>
      </c>
      <c r="I118" s="1" t="s">
        <v>239</v>
      </c>
    </row>
    <row r="119" spans="1:9" x14ac:dyDescent="0.35">
      <c r="A119" s="1" t="s">
        <v>126</v>
      </c>
      <c r="B119" s="1" t="s">
        <v>165</v>
      </c>
      <c r="C119" s="1" t="s">
        <v>170</v>
      </c>
      <c r="D119"/>
      <c r="E119" s="1">
        <v>73483</v>
      </c>
      <c r="F119" s="13">
        <v>42827</v>
      </c>
      <c r="G119" s="1">
        <v>1</v>
      </c>
      <c r="H119"/>
      <c r="I119" s="1" t="s">
        <v>266</v>
      </c>
    </row>
    <row r="120" spans="1:9" x14ac:dyDescent="0.35">
      <c r="A120" s="1" t="s">
        <v>127</v>
      </c>
      <c r="B120" s="1" t="s">
        <v>164</v>
      </c>
      <c r="C120" s="1" t="s">
        <v>168</v>
      </c>
      <c r="D120" s="1" t="s">
        <v>174</v>
      </c>
      <c r="E120" s="1">
        <v>95032</v>
      </c>
      <c r="F120" s="13">
        <v>42834</v>
      </c>
      <c r="G120" s="1">
        <v>3</v>
      </c>
      <c r="H120"/>
      <c r="I120" s="1" t="s">
        <v>267</v>
      </c>
    </row>
    <row r="121" spans="1:9" x14ac:dyDescent="0.35">
      <c r="A121" s="1" t="s">
        <v>128</v>
      </c>
      <c r="B121" s="1" t="s">
        <v>159</v>
      </c>
      <c r="C121" s="1" t="s">
        <v>168</v>
      </c>
      <c r="D121" s="1" t="s">
        <v>176</v>
      </c>
      <c r="E121" s="1">
        <v>44358</v>
      </c>
      <c r="F121" s="13">
        <v>42841</v>
      </c>
      <c r="G121"/>
      <c r="H121" s="1" t="s">
        <v>181</v>
      </c>
      <c r="I121" s="1" t="s">
        <v>200</v>
      </c>
    </row>
    <row r="122" spans="1:9" x14ac:dyDescent="0.35">
      <c r="A122" s="1" t="s">
        <v>129</v>
      </c>
      <c r="B122"/>
      <c r="C122" s="1" t="s">
        <v>169</v>
      </c>
      <c r="D122" s="1" t="s">
        <v>173</v>
      </c>
      <c r="E122" s="1" t="s">
        <v>177</v>
      </c>
      <c r="F122"/>
      <c r="G122" s="1">
        <v>5</v>
      </c>
      <c r="H122" s="1" t="s">
        <v>178</v>
      </c>
      <c r="I122" s="1" t="s">
        <v>268</v>
      </c>
    </row>
    <row r="123" spans="1:9" x14ac:dyDescent="0.35">
      <c r="A123" s="1" t="s">
        <v>130</v>
      </c>
      <c r="B123" s="1" t="s">
        <v>164</v>
      </c>
      <c r="C123" s="1" t="s">
        <v>168</v>
      </c>
      <c r="D123" s="1" t="s">
        <v>173</v>
      </c>
      <c r="E123" s="1">
        <v>45676</v>
      </c>
      <c r="F123" s="13">
        <v>42855</v>
      </c>
      <c r="G123" s="1">
        <v>2</v>
      </c>
      <c r="H123"/>
      <c r="I123" s="1" t="s">
        <v>269</v>
      </c>
    </row>
    <row r="124" spans="1:9" x14ac:dyDescent="0.35">
      <c r="A124" s="1" t="s">
        <v>131</v>
      </c>
      <c r="B124" s="1" t="s">
        <v>165</v>
      </c>
      <c r="C124" s="1" t="s">
        <v>168</v>
      </c>
      <c r="D124" s="1" t="s">
        <v>172</v>
      </c>
      <c r="E124" s="1">
        <v>52036</v>
      </c>
      <c r="F124" s="13">
        <v>42862</v>
      </c>
      <c r="G124" s="1">
        <v>3</v>
      </c>
      <c r="H124" s="1" t="s">
        <v>180</v>
      </c>
      <c r="I124" s="1" t="s">
        <v>270</v>
      </c>
    </row>
    <row r="125" spans="1:9" x14ac:dyDescent="0.35">
      <c r="A125" s="1" t="s">
        <v>132</v>
      </c>
      <c r="B125" s="1" t="s">
        <v>162</v>
      </c>
      <c r="C125"/>
      <c r="D125" s="1" t="s">
        <v>172</v>
      </c>
      <c r="E125" s="1">
        <v>30357</v>
      </c>
      <c r="F125" s="13">
        <v>42869</v>
      </c>
      <c r="G125" s="1">
        <v>5</v>
      </c>
      <c r="H125" s="1" t="s">
        <v>180</v>
      </c>
      <c r="I125" s="1" t="s">
        <v>248</v>
      </c>
    </row>
    <row r="126" spans="1:9" x14ac:dyDescent="0.35">
      <c r="A126" s="1" t="s">
        <v>133</v>
      </c>
      <c r="B126" s="1" t="s">
        <v>161</v>
      </c>
      <c r="C126" s="1" t="s">
        <v>169</v>
      </c>
      <c r="D126"/>
      <c r="E126" s="1">
        <v>60034</v>
      </c>
      <c r="F126" s="13">
        <v>42876</v>
      </c>
      <c r="G126" s="1">
        <v>1</v>
      </c>
      <c r="H126" s="1" t="s">
        <v>181</v>
      </c>
      <c r="I126" s="1" t="s">
        <v>271</v>
      </c>
    </row>
    <row r="127" spans="1:9" x14ac:dyDescent="0.35">
      <c r="A127" s="1" t="s">
        <v>134</v>
      </c>
      <c r="B127" s="1" t="s">
        <v>161</v>
      </c>
      <c r="C127" s="1" t="s">
        <v>166</v>
      </c>
      <c r="D127" s="1" t="s">
        <v>171</v>
      </c>
      <c r="E127" s="1">
        <v>90019</v>
      </c>
      <c r="F127" s="13">
        <v>42883</v>
      </c>
      <c r="G127" s="1">
        <v>5</v>
      </c>
      <c r="H127"/>
      <c r="I127" s="1" t="s">
        <v>272</v>
      </c>
    </row>
    <row r="128" spans="1:9" x14ac:dyDescent="0.35">
      <c r="A128" s="1" t="s">
        <v>135</v>
      </c>
      <c r="B128" s="1" t="s">
        <v>165</v>
      </c>
      <c r="C128"/>
      <c r="D128" s="1" t="s">
        <v>172</v>
      </c>
      <c r="E128" s="1">
        <v>71494</v>
      </c>
      <c r="F128" s="13">
        <v>42890</v>
      </c>
      <c r="G128" s="1">
        <v>3</v>
      </c>
      <c r="H128" s="1" t="s">
        <v>180</v>
      </c>
      <c r="I128" s="1" t="s">
        <v>273</v>
      </c>
    </row>
    <row r="129" spans="1:9" x14ac:dyDescent="0.35">
      <c r="A129" s="1" t="s">
        <v>136</v>
      </c>
      <c r="B129" s="1" t="s">
        <v>161</v>
      </c>
      <c r="C129" s="1" t="s">
        <v>166</v>
      </c>
      <c r="D129" s="1" t="s">
        <v>173</v>
      </c>
      <c r="E129" s="1">
        <v>91953</v>
      </c>
      <c r="F129" s="13">
        <v>42897</v>
      </c>
      <c r="G129" s="1">
        <v>2</v>
      </c>
      <c r="H129" s="1" t="s">
        <v>180</v>
      </c>
      <c r="I129" s="1" t="s">
        <v>209</v>
      </c>
    </row>
    <row r="130" spans="1:9" x14ac:dyDescent="0.35">
      <c r="A130" s="1" t="s">
        <v>137</v>
      </c>
      <c r="B130" s="1" t="s">
        <v>164</v>
      </c>
      <c r="C130" s="1" t="s">
        <v>168</v>
      </c>
      <c r="D130" s="1" t="s">
        <v>173</v>
      </c>
      <c r="E130" s="1">
        <v>30402</v>
      </c>
      <c r="F130" s="13">
        <v>42904</v>
      </c>
      <c r="G130" s="1">
        <v>1</v>
      </c>
      <c r="H130"/>
      <c r="I130" s="1" t="s">
        <v>274</v>
      </c>
    </row>
    <row r="131" spans="1:9" x14ac:dyDescent="0.35">
      <c r="A131" s="1" t="s">
        <v>138</v>
      </c>
      <c r="B131" s="1" t="s">
        <v>165</v>
      </c>
      <c r="C131"/>
      <c r="D131" s="1" t="s">
        <v>175</v>
      </c>
      <c r="E131" s="1">
        <v>62994</v>
      </c>
      <c r="F131" s="13">
        <v>42911</v>
      </c>
      <c r="G131"/>
      <c r="H131"/>
      <c r="I131" s="1" t="s">
        <v>221</v>
      </c>
    </row>
    <row r="132" spans="1:9" x14ac:dyDescent="0.35">
      <c r="A132" s="1" t="s">
        <v>139</v>
      </c>
      <c r="B132" s="1" t="s">
        <v>160</v>
      </c>
      <c r="C132" s="1" t="s">
        <v>168</v>
      </c>
      <c r="D132" s="1" t="s">
        <v>174</v>
      </c>
      <c r="E132" s="1">
        <v>48289</v>
      </c>
      <c r="F132"/>
      <c r="G132" s="1">
        <v>3</v>
      </c>
      <c r="H132" s="1" t="s">
        <v>180</v>
      </c>
      <c r="I132" s="1" t="s">
        <v>189</v>
      </c>
    </row>
    <row r="133" spans="1:9" x14ac:dyDescent="0.35">
      <c r="A133" s="1" t="s">
        <v>140</v>
      </c>
      <c r="B133" s="1" t="s">
        <v>163</v>
      </c>
      <c r="C133" s="1" t="s">
        <v>170</v>
      </c>
      <c r="D133" s="1" t="s">
        <v>172</v>
      </c>
      <c r="E133" s="1">
        <v>34402</v>
      </c>
      <c r="F133" s="13">
        <v>42925</v>
      </c>
      <c r="G133" s="1">
        <v>3</v>
      </c>
      <c r="H133" s="1" t="s">
        <v>179</v>
      </c>
      <c r="I133" s="1" t="s">
        <v>218</v>
      </c>
    </row>
    <row r="134" spans="1:9" x14ac:dyDescent="0.35">
      <c r="A134" s="1" t="s">
        <v>141</v>
      </c>
      <c r="B134" s="1" t="s">
        <v>159</v>
      </c>
      <c r="C134" s="1" t="s">
        <v>167</v>
      </c>
      <c r="D134" s="1" t="s">
        <v>173</v>
      </c>
      <c r="E134" s="1">
        <v>38678</v>
      </c>
      <c r="F134" s="13">
        <v>42932</v>
      </c>
      <c r="G134" s="1">
        <v>3</v>
      </c>
      <c r="H134" s="1" t="s">
        <v>179</v>
      </c>
      <c r="I134" s="1" t="s">
        <v>275</v>
      </c>
    </row>
    <row r="135" spans="1:9" x14ac:dyDescent="0.35">
      <c r="A135" s="1" t="s">
        <v>142</v>
      </c>
      <c r="B135" s="1" t="s">
        <v>164</v>
      </c>
      <c r="C135" s="1" t="s">
        <v>167</v>
      </c>
      <c r="D135" s="1" t="s">
        <v>172</v>
      </c>
      <c r="E135" s="1">
        <v>45758</v>
      </c>
      <c r="F135" s="13">
        <v>42939</v>
      </c>
      <c r="G135" s="1">
        <v>3</v>
      </c>
      <c r="H135"/>
      <c r="I135" s="1" t="s">
        <v>264</v>
      </c>
    </row>
    <row r="136" spans="1:9" x14ac:dyDescent="0.35">
      <c r="A136" s="1" t="s">
        <v>143</v>
      </c>
      <c r="B136" s="1" t="s">
        <v>159</v>
      </c>
      <c r="C136" s="1" t="s">
        <v>170</v>
      </c>
      <c r="D136" s="1" t="s">
        <v>174</v>
      </c>
      <c r="E136" s="1">
        <v>62476</v>
      </c>
      <c r="F136" s="13">
        <v>42946</v>
      </c>
      <c r="G136" s="1">
        <v>1</v>
      </c>
      <c r="H136" s="1" t="s">
        <v>179</v>
      </c>
      <c r="I136" s="1" t="s">
        <v>231</v>
      </c>
    </row>
    <row r="137" spans="1:9" x14ac:dyDescent="0.35">
      <c r="A137" s="1" t="s">
        <v>144</v>
      </c>
      <c r="B137"/>
      <c r="C137" s="1" t="s">
        <v>169</v>
      </c>
      <c r="D137" s="1" t="s">
        <v>175</v>
      </c>
      <c r="E137" s="1">
        <v>39280</v>
      </c>
      <c r="F137" s="13">
        <v>42953</v>
      </c>
      <c r="G137" s="1">
        <v>3</v>
      </c>
      <c r="H137" s="1" t="s">
        <v>181</v>
      </c>
      <c r="I137" s="1" t="s">
        <v>214</v>
      </c>
    </row>
    <row r="138" spans="1:9" x14ac:dyDescent="0.35">
      <c r="A138" s="1" t="s">
        <v>145</v>
      </c>
      <c r="B138" s="1" t="s">
        <v>162</v>
      </c>
      <c r="C138" s="1" t="s">
        <v>166</v>
      </c>
      <c r="D138" s="1" t="s">
        <v>174</v>
      </c>
      <c r="E138" s="1">
        <v>60335</v>
      </c>
      <c r="F138" s="13">
        <v>42960</v>
      </c>
      <c r="G138" s="1">
        <v>4</v>
      </c>
      <c r="H138" s="1" t="s">
        <v>179</v>
      </c>
      <c r="I138" s="1" t="s">
        <v>227</v>
      </c>
    </row>
    <row r="139" spans="1:9" x14ac:dyDescent="0.35">
      <c r="A139" s="1" t="s">
        <v>146</v>
      </c>
      <c r="B139" s="1" t="s">
        <v>164</v>
      </c>
      <c r="C139" s="1" t="s">
        <v>167</v>
      </c>
      <c r="D139" s="1" t="s">
        <v>172</v>
      </c>
      <c r="E139" s="1">
        <v>84968</v>
      </c>
      <c r="F139" s="13">
        <v>42967</v>
      </c>
      <c r="G139"/>
      <c r="H139"/>
      <c r="I139" s="1" t="s">
        <v>276</v>
      </c>
    </row>
    <row r="140" spans="1:9" x14ac:dyDescent="0.35">
      <c r="A140" s="1" t="s">
        <v>147</v>
      </c>
      <c r="B140" s="1" t="s">
        <v>164</v>
      </c>
      <c r="C140" s="1" t="s">
        <v>170</v>
      </c>
      <c r="D140" s="1" t="s">
        <v>176</v>
      </c>
      <c r="E140" s="1">
        <v>84750</v>
      </c>
      <c r="F140" s="13">
        <v>42974</v>
      </c>
      <c r="G140" s="1">
        <v>4</v>
      </c>
      <c r="H140" s="1" t="s">
        <v>181</v>
      </c>
      <c r="I140" s="1" t="s">
        <v>195</v>
      </c>
    </row>
    <row r="141" spans="1:9" x14ac:dyDescent="0.35">
      <c r="A141" s="1" t="s">
        <v>148</v>
      </c>
      <c r="B141" s="1" t="s">
        <v>165</v>
      </c>
      <c r="C141" s="1" t="s">
        <v>169</v>
      </c>
      <c r="D141"/>
      <c r="E141" s="1">
        <v>73348</v>
      </c>
      <c r="F141" s="13">
        <v>42981</v>
      </c>
      <c r="G141" s="1">
        <v>2</v>
      </c>
      <c r="H141"/>
      <c r="I141" s="1" t="s">
        <v>243</v>
      </c>
    </row>
    <row r="142" spans="1:9" x14ac:dyDescent="0.35">
      <c r="A142" s="1" t="s">
        <v>149</v>
      </c>
      <c r="B142" s="1" t="s">
        <v>164</v>
      </c>
      <c r="C142" s="1" t="s">
        <v>168</v>
      </c>
      <c r="D142" s="1" t="s">
        <v>173</v>
      </c>
      <c r="E142" s="1" t="s">
        <v>177</v>
      </c>
      <c r="F142" s="13">
        <v>42988</v>
      </c>
      <c r="G142" s="1">
        <v>4</v>
      </c>
      <c r="H142" s="1" t="s">
        <v>179</v>
      </c>
      <c r="I142" s="1" t="s">
        <v>182</v>
      </c>
    </row>
    <row r="143" spans="1:9" x14ac:dyDescent="0.35">
      <c r="A143" s="1" t="s">
        <v>150</v>
      </c>
      <c r="B143" s="1" t="s">
        <v>162</v>
      </c>
      <c r="C143" s="1" t="s">
        <v>170</v>
      </c>
      <c r="D143" s="1" t="s">
        <v>173</v>
      </c>
      <c r="E143" s="1">
        <v>66882</v>
      </c>
      <c r="F143" s="13">
        <v>42995</v>
      </c>
      <c r="G143" s="1">
        <v>5</v>
      </c>
      <c r="H143" s="1" t="s">
        <v>179</v>
      </c>
      <c r="I143" s="1" t="s">
        <v>207</v>
      </c>
    </row>
    <row r="144" spans="1:9" x14ac:dyDescent="0.35">
      <c r="A144" s="1" t="s">
        <v>151</v>
      </c>
      <c r="B144" s="1" t="s">
        <v>160</v>
      </c>
      <c r="C144" s="1" t="s">
        <v>170</v>
      </c>
      <c r="D144"/>
      <c r="E144" s="1">
        <v>86775</v>
      </c>
      <c r="F144" s="13">
        <v>43002</v>
      </c>
      <c r="G144" s="1">
        <v>3</v>
      </c>
      <c r="H144" s="1" t="s">
        <v>179</v>
      </c>
      <c r="I144" s="1" t="s">
        <v>212</v>
      </c>
    </row>
    <row r="145" spans="1:9" x14ac:dyDescent="0.35">
      <c r="A145" s="1" t="s">
        <v>152</v>
      </c>
      <c r="B145" s="1" t="s">
        <v>164</v>
      </c>
      <c r="C145" s="1" t="s">
        <v>168</v>
      </c>
      <c r="D145" s="1" t="s">
        <v>175</v>
      </c>
      <c r="E145" s="1">
        <v>91620</v>
      </c>
      <c r="F145" s="13">
        <v>43009</v>
      </c>
      <c r="G145"/>
      <c r="H145"/>
      <c r="I145" s="1" t="s">
        <v>277</v>
      </c>
    </row>
    <row r="146" spans="1:9" x14ac:dyDescent="0.35">
      <c r="A146" s="1" t="s">
        <v>153</v>
      </c>
      <c r="B146" s="1" t="s">
        <v>159</v>
      </c>
      <c r="C146"/>
      <c r="D146"/>
      <c r="E146" s="1">
        <v>94148</v>
      </c>
      <c r="F146" s="13">
        <v>43016</v>
      </c>
      <c r="G146" s="1">
        <v>2</v>
      </c>
      <c r="H146"/>
      <c r="I146" s="1" t="s">
        <v>278</v>
      </c>
    </row>
    <row r="147" spans="1:9" x14ac:dyDescent="0.35">
      <c r="A147" s="1" t="s">
        <v>154</v>
      </c>
      <c r="B147" s="1" t="s">
        <v>163</v>
      </c>
      <c r="C147" s="1" t="s">
        <v>168</v>
      </c>
      <c r="D147" s="1" t="s">
        <v>176</v>
      </c>
      <c r="E147" s="1">
        <v>35627</v>
      </c>
      <c r="F147" s="13">
        <v>43023</v>
      </c>
      <c r="G147" s="1">
        <v>5</v>
      </c>
      <c r="H147" s="1" t="s">
        <v>181</v>
      </c>
      <c r="I147" s="1" t="s">
        <v>275</v>
      </c>
    </row>
    <row r="148" spans="1:9" x14ac:dyDescent="0.35">
      <c r="A148" s="1" t="s">
        <v>155</v>
      </c>
      <c r="B148" s="1" t="s">
        <v>161</v>
      </c>
      <c r="C148" s="1" t="s">
        <v>170</v>
      </c>
      <c r="D148" s="1" t="s">
        <v>173</v>
      </c>
      <c r="E148" s="1">
        <v>57141</v>
      </c>
      <c r="F148" s="13">
        <v>43030</v>
      </c>
      <c r="G148" s="1">
        <v>2</v>
      </c>
      <c r="H148"/>
      <c r="I148" s="1" t="s">
        <v>276</v>
      </c>
    </row>
    <row r="149" spans="1:9" x14ac:dyDescent="0.35">
      <c r="A149" s="1" t="s">
        <v>156</v>
      </c>
      <c r="B149" s="1" t="s">
        <v>165</v>
      </c>
      <c r="C149" s="1" t="s">
        <v>168</v>
      </c>
      <c r="D149" s="1" t="s">
        <v>176</v>
      </c>
      <c r="E149" s="1">
        <v>65270</v>
      </c>
      <c r="F149" s="13">
        <v>43037</v>
      </c>
      <c r="G149" s="1">
        <v>1</v>
      </c>
      <c r="H149"/>
      <c r="I149" s="1" t="s">
        <v>279</v>
      </c>
    </row>
    <row r="150" spans="1:9" x14ac:dyDescent="0.35">
      <c r="A150" s="1" t="s">
        <v>157</v>
      </c>
      <c r="B150" s="1" t="s">
        <v>165</v>
      </c>
      <c r="C150"/>
      <c r="D150" s="1" t="s">
        <v>175</v>
      </c>
      <c r="E150" s="1">
        <v>67335</v>
      </c>
      <c r="F150" s="13">
        <v>43044</v>
      </c>
      <c r="G150" s="1">
        <v>1</v>
      </c>
      <c r="H150" s="1" t="s">
        <v>179</v>
      </c>
      <c r="I150" s="1" t="s">
        <v>233</v>
      </c>
    </row>
    <row r="151" spans="1:9" x14ac:dyDescent="0.35">
      <c r="A151" s="1" t="s">
        <v>158</v>
      </c>
      <c r="B151" s="1" t="s">
        <v>163</v>
      </c>
      <c r="C151" s="1" t="s">
        <v>170</v>
      </c>
      <c r="D151" s="1" t="s">
        <v>174</v>
      </c>
      <c r="E151" s="1">
        <v>98475</v>
      </c>
      <c r="F151" s="13">
        <v>43051</v>
      </c>
      <c r="G151" s="1">
        <v>5</v>
      </c>
      <c r="H151" s="1" t="s">
        <v>179</v>
      </c>
      <c r="I151" s="1" t="s">
        <v>280</v>
      </c>
    </row>
  </sheetData>
  <conditionalFormatting sqref="A1:A1048576">
    <cfRule type="duplicateValues" dxfId="40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410E-3C1A-4598-AC3D-F0E524850CD7}">
  <sheetPr>
    <tabColor theme="6" tint="0.79998168889431442"/>
  </sheetPr>
  <dimension ref="B3:S150"/>
  <sheetViews>
    <sheetView topLeftCell="A86" workbookViewId="0">
      <selection activeCell="B83" sqref="B83:I150"/>
    </sheetView>
  </sheetViews>
  <sheetFormatPr defaultRowHeight="14.5" x14ac:dyDescent="0.35"/>
  <cols>
    <col min="11" max="11" width="14.1796875" customWidth="1"/>
    <col min="12" max="12" width="18.26953125" bestFit="1" customWidth="1"/>
    <col min="13" max="13" width="11.7265625" bestFit="1" customWidth="1"/>
    <col min="14" max="14" width="12" bestFit="1" customWidth="1"/>
    <col min="15" max="15" width="15.26953125" customWidth="1"/>
    <col min="16" max="16" width="14.26953125" bestFit="1" customWidth="1"/>
    <col min="17" max="17" width="16.7265625" customWidth="1"/>
    <col min="18" max="18" width="12" bestFit="1" customWidth="1"/>
    <col min="19" max="19" width="13.1796875" customWidth="1"/>
  </cols>
  <sheetData>
    <row r="3" spans="2:19" x14ac:dyDescent="0.35">
      <c r="B3" s="60" t="s">
        <v>281</v>
      </c>
      <c r="C3" s="61"/>
      <c r="D3" s="61"/>
      <c r="E3" s="61"/>
      <c r="F3" s="61"/>
      <c r="G3" s="61"/>
      <c r="H3" s="61"/>
      <c r="I3" s="61"/>
      <c r="J3" s="15" t="s">
        <v>282</v>
      </c>
      <c r="K3" s="15" t="s">
        <v>298</v>
      </c>
      <c r="L3" s="14"/>
      <c r="M3" s="14"/>
    </row>
    <row r="4" spans="2:19" ht="29" x14ac:dyDescent="0.35">
      <c r="B4" s="61"/>
      <c r="C4" s="61"/>
      <c r="D4" s="61"/>
      <c r="E4" s="61"/>
      <c r="F4" s="61"/>
      <c r="G4" s="61"/>
      <c r="H4" s="61"/>
      <c r="I4" s="61"/>
      <c r="K4" s="4" t="s">
        <v>0</v>
      </c>
      <c r="L4" s="4" t="s">
        <v>1</v>
      </c>
      <c r="M4" s="4" t="s">
        <v>2</v>
      </c>
      <c r="N4" s="4" t="s">
        <v>3</v>
      </c>
      <c r="O4" s="4" t="s">
        <v>4</v>
      </c>
      <c r="P4" s="4" t="s">
        <v>5</v>
      </c>
      <c r="Q4" s="5" t="s">
        <v>6</v>
      </c>
      <c r="R4" s="4" t="s">
        <v>7</v>
      </c>
      <c r="S4" s="4" t="s">
        <v>8</v>
      </c>
    </row>
    <row r="5" spans="2:19" ht="29" x14ac:dyDescent="0.35">
      <c r="B5" s="61"/>
      <c r="C5" s="61"/>
      <c r="D5" s="61"/>
      <c r="E5" s="61"/>
      <c r="F5" s="61"/>
      <c r="G5" s="61"/>
      <c r="H5" s="61"/>
      <c r="I5" s="61"/>
      <c r="K5" s="7" t="s">
        <v>283</v>
      </c>
      <c r="L5" s="7" t="s">
        <v>286</v>
      </c>
      <c r="M5" s="3" t="s">
        <v>286</v>
      </c>
      <c r="N5" s="3" t="s">
        <v>286</v>
      </c>
      <c r="O5" s="7" t="s">
        <v>291</v>
      </c>
      <c r="P5" s="7" t="s">
        <v>294</v>
      </c>
      <c r="Q5" s="8" t="s">
        <v>292</v>
      </c>
      <c r="R5" s="7" t="s">
        <v>286</v>
      </c>
      <c r="S5" s="7" t="s">
        <v>285</v>
      </c>
    </row>
    <row r="6" spans="2:19" ht="33" customHeight="1" x14ac:dyDescent="0.35">
      <c r="B6" s="61"/>
      <c r="C6" s="61"/>
      <c r="D6" s="61"/>
      <c r="E6" s="61"/>
      <c r="F6" s="61"/>
      <c r="G6" s="61"/>
      <c r="H6" s="61"/>
      <c r="I6" s="61"/>
      <c r="K6" s="7" t="s">
        <v>284</v>
      </c>
      <c r="L6" s="7" t="s">
        <v>288</v>
      </c>
      <c r="M6" s="7" t="s">
        <v>290</v>
      </c>
      <c r="N6" s="7" t="s">
        <v>290</v>
      </c>
      <c r="O6" s="8" t="s">
        <v>292</v>
      </c>
      <c r="P6" s="8" t="s">
        <v>292</v>
      </c>
      <c r="Q6" s="7" t="s">
        <v>286</v>
      </c>
      <c r="R6" s="7" t="s">
        <v>289</v>
      </c>
      <c r="S6" s="7" t="s">
        <v>296</v>
      </c>
    </row>
    <row r="7" spans="2:19" ht="29" x14ac:dyDescent="0.35">
      <c r="B7" s="61"/>
      <c r="C7" s="61"/>
      <c r="D7" s="61"/>
      <c r="E7" s="61"/>
      <c r="F7" s="61"/>
      <c r="G7" s="61"/>
      <c r="H7" s="61"/>
      <c r="I7" s="61"/>
      <c r="K7" s="7" t="s">
        <v>287</v>
      </c>
      <c r="L7" s="7" t="s">
        <v>289</v>
      </c>
      <c r="M7" s="7" t="s">
        <v>289</v>
      </c>
      <c r="N7" s="7" t="s">
        <v>289</v>
      </c>
      <c r="O7" s="7" t="s">
        <v>293</v>
      </c>
      <c r="P7" s="7" t="s">
        <v>286</v>
      </c>
      <c r="Q7" s="3"/>
      <c r="R7" s="8" t="s">
        <v>295</v>
      </c>
      <c r="S7" s="8" t="s">
        <v>297</v>
      </c>
    </row>
    <row r="8" spans="2:19" ht="29.25" customHeight="1" x14ac:dyDescent="0.35">
      <c r="B8" s="61"/>
      <c r="C8" s="61"/>
      <c r="D8" s="61"/>
      <c r="E8" s="61"/>
      <c r="F8" s="61"/>
      <c r="G8" s="61"/>
      <c r="H8" s="61"/>
      <c r="I8" s="61"/>
      <c r="K8" s="7" t="s">
        <v>285</v>
      </c>
      <c r="L8" s="8" t="s">
        <v>295</v>
      </c>
      <c r="M8" s="8" t="s">
        <v>295</v>
      </c>
      <c r="N8" s="8" t="s">
        <v>295</v>
      </c>
      <c r="O8" s="7"/>
      <c r="P8" s="7"/>
      <c r="Q8" s="7"/>
      <c r="R8" s="7"/>
      <c r="S8" s="7"/>
    </row>
    <row r="9" spans="2:19" x14ac:dyDescent="0.35">
      <c r="B9" s="61"/>
      <c r="C9" s="61"/>
      <c r="D9" s="61"/>
      <c r="E9" s="61"/>
      <c r="F9" s="61"/>
      <c r="G9" s="61"/>
      <c r="H9" s="61"/>
      <c r="I9" s="61"/>
      <c r="J9" s="14" t="s">
        <v>312</v>
      </c>
      <c r="K9" s="3" t="s">
        <v>313</v>
      </c>
    </row>
    <row r="10" spans="2:19" x14ac:dyDescent="0.35">
      <c r="B10" s="61"/>
      <c r="C10" s="61"/>
      <c r="D10" s="61"/>
      <c r="E10" s="61"/>
      <c r="F10" s="61"/>
      <c r="G10" s="61"/>
      <c r="H10" s="61"/>
      <c r="I10" s="61"/>
      <c r="J10" s="14" t="s">
        <v>314</v>
      </c>
      <c r="K10" s="3" t="s">
        <v>315</v>
      </c>
    </row>
    <row r="11" spans="2:19" x14ac:dyDescent="0.35">
      <c r="B11" s="61"/>
      <c r="C11" s="61"/>
      <c r="D11" s="61"/>
      <c r="E11" s="61"/>
      <c r="F11" s="61"/>
      <c r="G11" s="61"/>
      <c r="H11" s="61"/>
      <c r="I11" s="61"/>
      <c r="J11" s="14" t="s">
        <v>329</v>
      </c>
      <c r="K11" t="s">
        <v>332</v>
      </c>
    </row>
    <row r="12" spans="2:19" x14ac:dyDescent="0.35">
      <c r="B12" s="61"/>
      <c r="C12" s="61"/>
      <c r="D12" s="61"/>
      <c r="E12" s="61"/>
      <c r="F12" s="61"/>
      <c r="G12" s="61"/>
      <c r="H12" s="61"/>
      <c r="I12" s="61"/>
      <c r="J12" s="14" t="s">
        <v>330</v>
      </c>
      <c r="K12" t="s">
        <v>346</v>
      </c>
    </row>
    <row r="13" spans="2:19" x14ac:dyDescent="0.35">
      <c r="B13" s="61"/>
      <c r="C13" s="61"/>
      <c r="D13" s="61"/>
      <c r="E13" s="61"/>
      <c r="F13" s="61"/>
      <c r="G13" s="61"/>
      <c r="H13" s="61"/>
      <c r="I13" s="61"/>
      <c r="J13" s="14" t="s">
        <v>331</v>
      </c>
      <c r="K13" t="s">
        <v>333</v>
      </c>
    </row>
    <row r="14" spans="2:19" x14ac:dyDescent="0.35">
      <c r="B14" s="61"/>
      <c r="C14" s="61"/>
      <c r="D14" s="61"/>
      <c r="E14" s="61"/>
      <c r="F14" s="61"/>
      <c r="G14" s="61"/>
      <c r="H14" s="61"/>
      <c r="I14" s="61"/>
    </row>
    <row r="15" spans="2:19" x14ac:dyDescent="0.35">
      <c r="B15" s="61"/>
      <c r="C15" s="61"/>
      <c r="D15" s="61"/>
      <c r="E15" s="61"/>
      <c r="F15" s="61"/>
      <c r="G15" s="61"/>
      <c r="H15" s="61"/>
      <c r="I15" s="61"/>
    </row>
    <row r="16" spans="2:19" x14ac:dyDescent="0.35">
      <c r="B16" s="61"/>
      <c r="C16" s="61"/>
      <c r="D16" s="61"/>
      <c r="E16" s="61"/>
      <c r="F16" s="61"/>
      <c r="G16" s="61"/>
      <c r="H16" s="61"/>
      <c r="I16" s="61"/>
    </row>
    <row r="17" spans="2:9" x14ac:dyDescent="0.35">
      <c r="B17" s="61"/>
      <c r="C17" s="61"/>
      <c r="D17" s="61"/>
      <c r="E17" s="61"/>
      <c r="F17" s="61"/>
      <c r="G17" s="61"/>
      <c r="H17" s="61"/>
      <c r="I17" s="61"/>
    </row>
    <row r="18" spans="2:9" x14ac:dyDescent="0.35">
      <c r="B18" s="61"/>
      <c r="C18" s="61"/>
      <c r="D18" s="61"/>
      <c r="E18" s="61"/>
      <c r="F18" s="61"/>
      <c r="G18" s="61"/>
      <c r="H18" s="61"/>
      <c r="I18" s="61"/>
    </row>
    <row r="19" spans="2:9" x14ac:dyDescent="0.35">
      <c r="B19" s="61"/>
      <c r="C19" s="61"/>
      <c r="D19" s="61"/>
      <c r="E19" s="61"/>
      <c r="F19" s="61"/>
      <c r="G19" s="61"/>
      <c r="H19" s="61"/>
      <c r="I19" s="61"/>
    </row>
    <row r="20" spans="2:9" x14ac:dyDescent="0.35">
      <c r="B20" s="61"/>
      <c r="C20" s="61"/>
      <c r="D20" s="61"/>
      <c r="E20" s="61"/>
      <c r="F20" s="61"/>
      <c r="G20" s="61"/>
      <c r="H20" s="61"/>
      <c r="I20" s="61"/>
    </row>
    <row r="21" spans="2:9" x14ac:dyDescent="0.35">
      <c r="B21" s="61"/>
      <c r="C21" s="61"/>
      <c r="D21" s="61"/>
      <c r="E21" s="61"/>
      <c r="F21" s="61"/>
      <c r="G21" s="61"/>
      <c r="H21" s="61"/>
      <c r="I21" s="61"/>
    </row>
    <row r="22" spans="2:9" x14ac:dyDescent="0.35">
      <c r="B22" s="61"/>
      <c r="C22" s="61"/>
      <c r="D22" s="61"/>
      <c r="E22" s="61"/>
      <c r="F22" s="61"/>
      <c r="G22" s="61"/>
      <c r="H22" s="61"/>
      <c r="I22" s="61"/>
    </row>
    <row r="23" spans="2:9" x14ac:dyDescent="0.35">
      <c r="B23" s="61"/>
      <c r="C23" s="61"/>
      <c r="D23" s="61"/>
      <c r="E23" s="61"/>
      <c r="F23" s="61"/>
      <c r="G23" s="61"/>
      <c r="H23" s="61"/>
      <c r="I23" s="61"/>
    </row>
    <row r="24" spans="2:9" x14ac:dyDescent="0.35">
      <c r="B24" s="61"/>
      <c r="C24" s="61"/>
      <c r="D24" s="61"/>
      <c r="E24" s="61"/>
      <c r="F24" s="61"/>
      <c r="G24" s="61"/>
      <c r="H24" s="61"/>
      <c r="I24" s="61"/>
    </row>
    <row r="25" spans="2:9" x14ac:dyDescent="0.35">
      <c r="B25" s="61"/>
      <c r="C25" s="61"/>
      <c r="D25" s="61"/>
      <c r="E25" s="61"/>
      <c r="F25" s="61"/>
      <c r="G25" s="61"/>
      <c r="H25" s="61"/>
      <c r="I25" s="61"/>
    </row>
    <row r="26" spans="2:9" x14ac:dyDescent="0.35">
      <c r="B26" s="61"/>
      <c r="C26" s="61"/>
      <c r="D26" s="61"/>
      <c r="E26" s="61"/>
      <c r="F26" s="61"/>
      <c r="G26" s="61"/>
      <c r="H26" s="61"/>
      <c r="I26" s="61"/>
    </row>
    <row r="27" spans="2:9" x14ac:dyDescent="0.35">
      <c r="B27" s="61"/>
      <c r="C27" s="61"/>
      <c r="D27" s="61"/>
      <c r="E27" s="61"/>
      <c r="F27" s="61"/>
      <c r="G27" s="61"/>
      <c r="H27" s="61"/>
      <c r="I27" s="61"/>
    </row>
    <row r="28" spans="2:9" x14ac:dyDescent="0.35">
      <c r="B28" s="61"/>
      <c r="C28" s="61"/>
      <c r="D28" s="61"/>
      <c r="E28" s="61"/>
      <c r="F28" s="61"/>
      <c r="G28" s="61"/>
      <c r="H28" s="61"/>
      <c r="I28" s="61"/>
    </row>
    <row r="29" spans="2:9" x14ac:dyDescent="0.35">
      <c r="B29" s="61"/>
      <c r="C29" s="61"/>
      <c r="D29" s="61"/>
      <c r="E29" s="61"/>
      <c r="F29" s="61"/>
      <c r="G29" s="61"/>
      <c r="H29" s="61"/>
      <c r="I29" s="61"/>
    </row>
    <row r="30" spans="2:9" x14ac:dyDescent="0.35">
      <c r="B30" s="61"/>
      <c r="C30" s="61"/>
      <c r="D30" s="61"/>
      <c r="E30" s="61"/>
      <c r="F30" s="61"/>
      <c r="G30" s="61"/>
      <c r="H30" s="61"/>
      <c r="I30" s="61"/>
    </row>
    <row r="31" spans="2:9" x14ac:dyDescent="0.35">
      <c r="B31" s="61"/>
      <c r="C31" s="61"/>
      <c r="D31" s="61"/>
      <c r="E31" s="61"/>
      <c r="F31" s="61"/>
      <c r="G31" s="61"/>
      <c r="H31" s="61"/>
      <c r="I31" s="61"/>
    </row>
    <row r="32" spans="2:9" x14ac:dyDescent="0.35">
      <c r="B32" s="61"/>
      <c r="C32" s="61"/>
      <c r="D32" s="61"/>
      <c r="E32" s="61"/>
      <c r="F32" s="61"/>
      <c r="G32" s="61"/>
      <c r="H32" s="61"/>
      <c r="I32" s="61"/>
    </row>
    <row r="33" spans="2:17" x14ac:dyDescent="0.35">
      <c r="B33" s="61"/>
      <c r="C33" s="61"/>
      <c r="D33" s="61"/>
      <c r="E33" s="61"/>
      <c r="F33" s="61"/>
      <c r="G33" s="61"/>
      <c r="H33" s="61"/>
      <c r="I33" s="61"/>
    </row>
    <row r="34" spans="2:17" x14ac:dyDescent="0.35">
      <c r="B34" s="61"/>
      <c r="C34" s="61"/>
      <c r="D34" s="61"/>
      <c r="E34" s="61"/>
      <c r="F34" s="61"/>
      <c r="G34" s="61"/>
      <c r="H34" s="61"/>
      <c r="I34" s="61"/>
    </row>
    <row r="35" spans="2:17" x14ac:dyDescent="0.35">
      <c r="B35" s="61"/>
      <c r="C35" s="61"/>
      <c r="D35" s="61"/>
      <c r="E35" s="61"/>
      <c r="F35" s="61"/>
      <c r="G35" s="61"/>
      <c r="H35" s="61"/>
      <c r="I35" s="61"/>
    </row>
    <row r="36" spans="2:17" x14ac:dyDescent="0.35">
      <c r="B36" s="61"/>
      <c r="C36" s="61"/>
      <c r="D36" s="61"/>
      <c r="E36" s="61"/>
      <c r="F36" s="61"/>
      <c r="G36" s="61"/>
      <c r="H36" s="61"/>
      <c r="I36" s="61"/>
    </row>
    <row r="37" spans="2:17" x14ac:dyDescent="0.35">
      <c r="B37" s="61"/>
      <c r="C37" s="61"/>
      <c r="D37" s="61"/>
      <c r="E37" s="61"/>
      <c r="F37" s="61"/>
      <c r="G37" s="61"/>
      <c r="H37" s="61"/>
      <c r="I37" s="61"/>
    </row>
    <row r="40" spans="2:17" ht="15" customHeight="1" x14ac:dyDescent="0.35">
      <c r="B40" s="60" t="s">
        <v>396</v>
      </c>
      <c r="C40" s="60"/>
      <c r="D40" s="60"/>
      <c r="E40" s="60"/>
      <c r="F40" s="60"/>
      <c r="G40" s="60"/>
      <c r="H40" s="60"/>
      <c r="I40" s="60"/>
    </row>
    <row r="41" spans="2:17" x14ac:dyDescent="0.35">
      <c r="B41" s="60"/>
      <c r="C41" s="60"/>
      <c r="D41" s="60"/>
      <c r="E41" s="60"/>
      <c r="F41" s="60"/>
      <c r="G41" s="60"/>
      <c r="H41" s="60"/>
      <c r="I41" s="60"/>
      <c r="J41" s="14" t="s">
        <v>353</v>
      </c>
      <c r="K41" s="62" t="s">
        <v>394</v>
      </c>
      <c r="L41" s="62"/>
      <c r="M41" s="62"/>
      <c r="N41" s="62"/>
    </row>
    <row r="42" spans="2:17" x14ac:dyDescent="0.35">
      <c r="B42" s="60"/>
      <c r="C42" s="60"/>
      <c r="D42" s="60"/>
      <c r="E42" s="60"/>
      <c r="F42" s="60"/>
      <c r="G42" s="60"/>
      <c r="H42" s="60"/>
      <c r="I42" s="60"/>
      <c r="J42" s="14" t="s">
        <v>382</v>
      </c>
      <c r="K42" s="63" t="s">
        <v>391</v>
      </c>
      <c r="L42" s="63"/>
      <c r="M42" s="63"/>
      <c r="N42" s="63"/>
    </row>
    <row r="43" spans="2:17" x14ac:dyDescent="0.35">
      <c r="B43" s="60"/>
      <c r="C43" s="60"/>
      <c r="D43" s="60"/>
      <c r="E43" s="60"/>
      <c r="F43" s="60"/>
      <c r="G43" s="60"/>
      <c r="H43" s="60"/>
      <c r="I43" s="60"/>
      <c r="J43" s="14" t="s">
        <v>383</v>
      </c>
      <c r="K43" s="62" t="s">
        <v>388</v>
      </c>
      <c r="L43" s="62"/>
      <c r="M43" s="62"/>
      <c r="N43" s="62"/>
      <c r="O43" s="62"/>
    </row>
    <row r="44" spans="2:17" x14ac:dyDescent="0.35">
      <c r="B44" s="60"/>
      <c r="C44" s="60"/>
      <c r="D44" s="60"/>
      <c r="E44" s="60"/>
      <c r="F44" s="60"/>
      <c r="G44" s="60"/>
      <c r="H44" s="60"/>
      <c r="I44" s="60"/>
      <c r="J44" s="14" t="s">
        <v>384</v>
      </c>
      <c r="K44" s="62" t="s">
        <v>395</v>
      </c>
      <c r="L44" s="62"/>
    </row>
    <row r="45" spans="2:17" x14ac:dyDescent="0.35">
      <c r="B45" s="60"/>
      <c r="C45" s="60"/>
      <c r="D45" s="60"/>
      <c r="E45" s="60"/>
      <c r="F45" s="60"/>
      <c r="G45" s="60"/>
      <c r="H45" s="60"/>
      <c r="I45" s="60"/>
      <c r="J45" s="14" t="s">
        <v>385</v>
      </c>
      <c r="K45" s="62" t="s">
        <v>400</v>
      </c>
      <c r="L45" s="62"/>
      <c r="M45" s="62"/>
      <c r="N45" s="62"/>
    </row>
    <row r="46" spans="2:17" x14ac:dyDescent="0.35">
      <c r="B46" s="60"/>
      <c r="C46" s="60"/>
      <c r="D46" s="60"/>
      <c r="E46" s="60"/>
      <c r="F46" s="60"/>
      <c r="G46" s="60"/>
      <c r="H46" s="60"/>
      <c r="I46" s="60"/>
      <c r="J46" s="14" t="s">
        <v>386</v>
      </c>
      <c r="K46" s="62" t="s">
        <v>410</v>
      </c>
      <c r="L46" s="62"/>
      <c r="M46" s="62"/>
    </row>
    <row r="47" spans="2:17" x14ac:dyDescent="0.35">
      <c r="B47" s="60"/>
      <c r="C47" s="60"/>
      <c r="D47" s="60"/>
      <c r="E47" s="60"/>
      <c r="F47" s="60"/>
      <c r="G47" s="60"/>
      <c r="H47" s="60"/>
      <c r="I47" s="60"/>
      <c r="J47" s="14" t="s">
        <v>387</v>
      </c>
      <c r="K47" s="62" t="s">
        <v>411</v>
      </c>
      <c r="L47" s="62"/>
      <c r="M47" s="62"/>
      <c r="N47" s="62"/>
      <c r="O47" s="62"/>
      <c r="P47" s="62"/>
      <c r="Q47" s="62"/>
    </row>
    <row r="48" spans="2:17" x14ac:dyDescent="0.35">
      <c r="B48" s="60"/>
      <c r="C48" s="60"/>
      <c r="D48" s="60"/>
      <c r="E48" s="60"/>
      <c r="F48" s="60"/>
      <c r="G48" s="60"/>
      <c r="H48" s="60"/>
      <c r="I48" s="60"/>
    </row>
    <row r="49" spans="2:9" x14ac:dyDescent="0.35">
      <c r="B49" s="60"/>
      <c r="C49" s="60"/>
      <c r="D49" s="60"/>
      <c r="E49" s="60"/>
      <c r="F49" s="60"/>
      <c r="G49" s="60"/>
      <c r="H49" s="60"/>
      <c r="I49" s="60"/>
    </row>
    <row r="50" spans="2:9" x14ac:dyDescent="0.35">
      <c r="B50" s="60"/>
      <c r="C50" s="60"/>
      <c r="D50" s="60"/>
      <c r="E50" s="60"/>
      <c r="F50" s="60"/>
      <c r="G50" s="60"/>
      <c r="H50" s="60"/>
      <c r="I50" s="60"/>
    </row>
    <row r="51" spans="2:9" x14ac:dyDescent="0.35">
      <c r="B51" s="60"/>
      <c r="C51" s="60"/>
      <c r="D51" s="60"/>
      <c r="E51" s="60"/>
      <c r="F51" s="60"/>
      <c r="G51" s="60"/>
      <c r="H51" s="60"/>
      <c r="I51" s="60"/>
    </row>
    <row r="52" spans="2:9" x14ac:dyDescent="0.35">
      <c r="B52" s="60"/>
      <c r="C52" s="60"/>
      <c r="D52" s="60"/>
      <c r="E52" s="60"/>
      <c r="F52" s="60"/>
      <c r="G52" s="60"/>
      <c r="H52" s="60"/>
      <c r="I52" s="60"/>
    </row>
    <row r="53" spans="2:9" x14ac:dyDescent="0.35">
      <c r="B53" s="60"/>
      <c r="C53" s="60"/>
      <c r="D53" s="60"/>
      <c r="E53" s="60"/>
      <c r="F53" s="60"/>
      <c r="G53" s="60"/>
      <c r="H53" s="60"/>
      <c r="I53" s="60"/>
    </row>
    <row r="54" spans="2:9" x14ac:dyDescent="0.35">
      <c r="B54" s="60"/>
      <c r="C54" s="60"/>
      <c r="D54" s="60"/>
      <c r="E54" s="60"/>
      <c r="F54" s="60"/>
      <c r="G54" s="60"/>
      <c r="H54" s="60"/>
      <c r="I54" s="60"/>
    </row>
    <row r="55" spans="2:9" x14ac:dyDescent="0.35">
      <c r="B55" s="60"/>
      <c r="C55" s="60"/>
      <c r="D55" s="60"/>
      <c r="E55" s="60"/>
      <c r="F55" s="60"/>
      <c r="G55" s="60"/>
      <c r="H55" s="60"/>
      <c r="I55" s="60"/>
    </row>
    <row r="56" spans="2:9" x14ac:dyDescent="0.35">
      <c r="B56" s="60"/>
      <c r="C56" s="60"/>
      <c r="D56" s="60"/>
      <c r="E56" s="60"/>
      <c r="F56" s="60"/>
      <c r="G56" s="60"/>
      <c r="H56" s="60"/>
      <c r="I56" s="60"/>
    </row>
    <row r="57" spans="2:9" x14ac:dyDescent="0.35">
      <c r="B57" s="60"/>
      <c r="C57" s="60"/>
      <c r="D57" s="60"/>
      <c r="E57" s="60"/>
      <c r="F57" s="60"/>
      <c r="G57" s="60"/>
      <c r="H57" s="60"/>
      <c r="I57" s="60"/>
    </row>
    <row r="58" spans="2:9" x14ac:dyDescent="0.35">
      <c r="B58" s="60"/>
      <c r="C58" s="60"/>
      <c r="D58" s="60"/>
      <c r="E58" s="60"/>
      <c r="F58" s="60"/>
      <c r="G58" s="60"/>
      <c r="H58" s="60"/>
      <c r="I58" s="60"/>
    </row>
    <row r="59" spans="2:9" x14ac:dyDescent="0.35">
      <c r="B59" s="60"/>
      <c r="C59" s="60"/>
      <c r="D59" s="60"/>
      <c r="E59" s="60"/>
      <c r="F59" s="60"/>
      <c r="G59" s="60"/>
      <c r="H59" s="60"/>
      <c r="I59" s="60"/>
    </row>
    <row r="60" spans="2:9" x14ac:dyDescent="0.35">
      <c r="B60" s="60"/>
      <c r="C60" s="60"/>
      <c r="D60" s="60"/>
      <c r="E60" s="60"/>
      <c r="F60" s="60"/>
      <c r="G60" s="60"/>
      <c r="H60" s="60"/>
      <c r="I60" s="60"/>
    </row>
    <row r="61" spans="2:9" x14ac:dyDescent="0.35">
      <c r="B61" s="60"/>
      <c r="C61" s="60"/>
      <c r="D61" s="60"/>
      <c r="E61" s="60"/>
      <c r="F61" s="60"/>
      <c r="G61" s="60"/>
      <c r="H61" s="60"/>
      <c r="I61" s="60"/>
    </row>
    <row r="62" spans="2:9" x14ac:dyDescent="0.35">
      <c r="B62" s="60"/>
      <c r="C62" s="60"/>
      <c r="D62" s="60"/>
      <c r="E62" s="60"/>
      <c r="F62" s="60"/>
      <c r="G62" s="60"/>
      <c r="H62" s="60"/>
      <c r="I62" s="60"/>
    </row>
    <row r="63" spans="2:9" x14ac:dyDescent="0.35">
      <c r="B63" s="60"/>
      <c r="C63" s="60"/>
      <c r="D63" s="60"/>
      <c r="E63" s="60"/>
      <c r="F63" s="60"/>
      <c r="G63" s="60"/>
      <c r="H63" s="60"/>
      <c r="I63" s="60"/>
    </row>
    <row r="64" spans="2:9" x14ac:dyDescent="0.35">
      <c r="B64" s="60"/>
      <c r="C64" s="60"/>
      <c r="D64" s="60"/>
      <c r="E64" s="60"/>
      <c r="F64" s="60"/>
      <c r="G64" s="60"/>
      <c r="H64" s="60"/>
      <c r="I64" s="60"/>
    </row>
    <row r="65" spans="2:9" x14ac:dyDescent="0.35">
      <c r="B65" s="60"/>
      <c r="C65" s="60"/>
      <c r="D65" s="60"/>
      <c r="E65" s="60"/>
      <c r="F65" s="60"/>
      <c r="G65" s="60"/>
      <c r="H65" s="60"/>
      <c r="I65" s="60"/>
    </row>
    <row r="66" spans="2:9" x14ac:dyDescent="0.35">
      <c r="B66" s="60"/>
      <c r="C66" s="60"/>
      <c r="D66" s="60"/>
      <c r="E66" s="60"/>
      <c r="F66" s="60"/>
      <c r="G66" s="60"/>
      <c r="H66" s="60"/>
      <c r="I66" s="60"/>
    </row>
    <row r="67" spans="2:9" x14ac:dyDescent="0.35">
      <c r="B67" s="60"/>
      <c r="C67" s="60"/>
      <c r="D67" s="60"/>
      <c r="E67" s="60"/>
      <c r="F67" s="60"/>
      <c r="G67" s="60"/>
      <c r="H67" s="60"/>
      <c r="I67" s="60"/>
    </row>
    <row r="68" spans="2:9" x14ac:dyDescent="0.35">
      <c r="B68" s="60"/>
      <c r="C68" s="60"/>
      <c r="D68" s="60"/>
      <c r="E68" s="60"/>
      <c r="F68" s="60"/>
      <c r="G68" s="60"/>
      <c r="H68" s="60"/>
      <c r="I68" s="60"/>
    </row>
    <row r="69" spans="2:9" x14ac:dyDescent="0.35">
      <c r="B69" s="60"/>
      <c r="C69" s="60"/>
      <c r="D69" s="60"/>
      <c r="E69" s="60"/>
      <c r="F69" s="60"/>
      <c r="G69" s="60"/>
      <c r="H69" s="60"/>
      <c r="I69" s="60"/>
    </row>
    <row r="70" spans="2:9" x14ac:dyDescent="0.35">
      <c r="B70" s="60"/>
      <c r="C70" s="60"/>
      <c r="D70" s="60"/>
      <c r="E70" s="60"/>
      <c r="F70" s="60"/>
      <c r="G70" s="60"/>
      <c r="H70" s="60"/>
      <c r="I70" s="60"/>
    </row>
    <row r="71" spans="2:9" x14ac:dyDescent="0.35">
      <c r="B71" s="60"/>
      <c r="C71" s="60"/>
      <c r="D71" s="60"/>
      <c r="E71" s="60"/>
      <c r="F71" s="60"/>
      <c r="G71" s="60"/>
      <c r="H71" s="60"/>
      <c r="I71" s="60"/>
    </row>
    <row r="72" spans="2:9" x14ac:dyDescent="0.35">
      <c r="B72" s="60"/>
      <c r="C72" s="60"/>
      <c r="D72" s="60"/>
      <c r="E72" s="60"/>
      <c r="F72" s="60"/>
      <c r="G72" s="60"/>
      <c r="H72" s="60"/>
      <c r="I72" s="60"/>
    </row>
    <row r="73" spans="2:9" x14ac:dyDescent="0.35">
      <c r="B73" s="60"/>
      <c r="C73" s="60"/>
      <c r="D73" s="60"/>
      <c r="E73" s="60"/>
      <c r="F73" s="60"/>
      <c r="G73" s="60"/>
      <c r="H73" s="60"/>
      <c r="I73" s="60"/>
    </row>
    <row r="74" spans="2:9" x14ac:dyDescent="0.35">
      <c r="B74" s="60"/>
      <c r="C74" s="60"/>
      <c r="D74" s="60"/>
      <c r="E74" s="60"/>
      <c r="F74" s="60"/>
      <c r="G74" s="60"/>
      <c r="H74" s="60"/>
      <c r="I74" s="60"/>
    </row>
    <row r="75" spans="2:9" x14ac:dyDescent="0.35">
      <c r="B75" s="60"/>
      <c r="C75" s="60"/>
      <c r="D75" s="60"/>
      <c r="E75" s="60"/>
      <c r="F75" s="60"/>
      <c r="G75" s="60"/>
      <c r="H75" s="60"/>
      <c r="I75" s="60"/>
    </row>
    <row r="76" spans="2:9" x14ac:dyDescent="0.35">
      <c r="B76" s="60"/>
      <c r="C76" s="60"/>
      <c r="D76" s="60"/>
      <c r="E76" s="60"/>
      <c r="F76" s="60"/>
      <c r="G76" s="60"/>
      <c r="H76" s="60"/>
      <c r="I76" s="60"/>
    </row>
    <row r="77" spans="2:9" x14ac:dyDescent="0.35">
      <c r="B77" s="60"/>
      <c r="C77" s="60"/>
      <c r="D77" s="60"/>
      <c r="E77" s="60"/>
      <c r="F77" s="60"/>
      <c r="G77" s="60"/>
      <c r="H77" s="60"/>
      <c r="I77" s="60"/>
    </row>
    <row r="78" spans="2:9" x14ac:dyDescent="0.35">
      <c r="B78" s="60"/>
      <c r="C78" s="60"/>
      <c r="D78" s="60"/>
      <c r="E78" s="60"/>
      <c r="F78" s="60"/>
      <c r="G78" s="60"/>
      <c r="H78" s="60"/>
      <c r="I78" s="60"/>
    </row>
    <row r="79" spans="2:9" x14ac:dyDescent="0.35">
      <c r="B79" s="60"/>
      <c r="C79" s="60"/>
      <c r="D79" s="60"/>
      <c r="E79" s="60"/>
      <c r="F79" s="60"/>
      <c r="G79" s="60"/>
      <c r="H79" s="60"/>
      <c r="I79" s="60"/>
    </row>
    <row r="80" spans="2:9" x14ac:dyDescent="0.35">
      <c r="B80" s="60"/>
      <c r="C80" s="60"/>
      <c r="D80" s="60"/>
      <c r="E80" s="60"/>
      <c r="F80" s="60"/>
      <c r="G80" s="60"/>
      <c r="H80" s="60"/>
      <c r="I80" s="60"/>
    </row>
    <row r="83" spans="2:15" ht="14.5" customHeight="1" x14ac:dyDescent="0.35">
      <c r="B83" s="52" t="s">
        <v>413</v>
      </c>
      <c r="C83" s="53"/>
      <c r="D83" s="53"/>
      <c r="E83" s="53"/>
      <c r="F83" s="53"/>
      <c r="G83" s="53"/>
      <c r="H83" s="53"/>
      <c r="I83" s="54"/>
      <c r="J83" s="35"/>
    </row>
    <row r="84" spans="2:15" x14ac:dyDescent="0.35">
      <c r="B84" s="55"/>
      <c r="C84" s="51"/>
      <c r="D84" s="51"/>
      <c r="E84" s="51"/>
      <c r="F84" s="51"/>
      <c r="G84" s="51"/>
      <c r="H84" s="51"/>
      <c r="I84" s="56"/>
      <c r="J84" s="14" t="s">
        <v>414</v>
      </c>
      <c r="K84" s="62" t="s">
        <v>421</v>
      </c>
      <c r="L84" s="62"/>
      <c r="M84" s="62"/>
      <c r="N84" s="62"/>
    </row>
    <row r="85" spans="2:15" x14ac:dyDescent="0.35">
      <c r="B85" s="55"/>
      <c r="C85" s="51"/>
      <c r="D85" s="51"/>
      <c r="E85" s="51"/>
      <c r="F85" s="51"/>
      <c r="G85" s="51"/>
      <c r="H85" s="51"/>
      <c r="I85" s="56"/>
      <c r="J85" s="14" t="s">
        <v>415</v>
      </c>
      <c r="K85" s="62" t="s">
        <v>422</v>
      </c>
      <c r="L85" s="62"/>
      <c r="M85" s="62"/>
      <c r="N85" s="62"/>
    </row>
    <row r="86" spans="2:15" x14ac:dyDescent="0.35">
      <c r="B86" s="55"/>
      <c r="C86" s="51"/>
      <c r="D86" s="51"/>
      <c r="E86" s="51"/>
      <c r="F86" s="51"/>
      <c r="G86" s="51"/>
      <c r="H86" s="51"/>
      <c r="I86" s="56"/>
      <c r="J86" s="14" t="s">
        <v>416</v>
      </c>
      <c r="K86" s="62" t="s">
        <v>423</v>
      </c>
      <c r="L86" s="62"/>
      <c r="M86" s="62"/>
      <c r="N86" s="62"/>
    </row>
    <row r="87" spans="2:15" x14ac:dyDescent="0.35">
      <c r="B87" s="55"/>
      <c r="C87" s="51"/>
      <c r="D87" s="51"/>
      <c r="E87" s="51"/>
      <c r="F87" s="51"/>
      <c r="G87" s="51"/>
      <c r="H87" s="51"/>
      <c r="I87" s="56"/>
      <c r="J87" s="14" t="s">
        <v>417</v>
      </c>
      <c r="K87" s="62" t="s">
        <v>424</v>
      </c>
      <c r="L87" s="62"/>
    </row>
    <row r="88" spans="2:15" x14ac:dyDescent="0.35">
      <c r="B88" s="55"/>
      <c r="C88" s="51"/>
      <c r="D88" s="51"/>
      <c r="E88" s="51"/>
      <c r="F88" s="51"/>
      <c r="G88" s="51"/>
      <c r="H88" s="51"/>
      <c r="I88" s="56"/>
      <c r="J88" s="14" t="s">
        <v>418</v>
      </c>
      <c r="K88" s="62" t="s">
        <v>425</v>
      </c>
      <c r="L88" s="62"/>
      <c r="M88" s="62"/>
      <c r="N88" s="62"/>
    </row>
    <row r="89" spans="2:15" ht="14.5" customHeight="1" x14ac:dyDescent="0.35">
      <c r="B89" s="55"/>
      <c r="C89" s="51"/>
      <c r="D89" s="51"/>
      <c r="E89" s="51"/>
      <c r="F89" s="51"/>
      <c r="G89" s="51"/>
      <c r="H89" s="51"/>
      <c r="I89" s="56"/>
      <c r="J89" s="14" t="s">
        <v>419</v>
      </c>
      <c r="K89" s="51" t="s">
        <v>426</v>
      </c>
      <c r="L89" s="51"/>
      <c r="M89" s="51"/>
      <c r="N89" s="51"/>
      <c r="O89" s="51"/>
    </row>
    <row r="90" spans="2:15" x14ac:dyDescent="0.35">
      <c r="B90" s="55"/>
      <c r="C90" s="51"/>
      <c r="D90" s="51"/>
      <c r="E90" s="51"/>
      <c r="F90" s="51"/>
      <c r="G90" s="51"/>
      <c r="H90" s="51"/>
      <c r="I90" s="56"/>
      <c r="J90" s="14" t="s">
        <v>420</v>
      </c>
    </row>
    <row r="91" spans="2:15" x14ac:dyDescent="0.35">
      <c r="B91" s="55"/>
      <c r="C91" s="51"/>
      <c r="D91" s="51"/>
      <c r="E91" s="51"/>
      <c r="F91" s="51"/>
      <c r="G91" s="51"/>
      <c r="H91" s="51"/>
      <c r="I91" s="56"/>
      <c r="J91" s="35"/>
    </row>
    <row r="92" spans="2:15" x14ac:dyDescent="0.35">
      <c r="B92" s="55"/>
      <c r="C92" s="51"/>
      <c r="D92" s="51"/>
      <c r="E92" s="51"/>
      <c r="F92" s="51"/>
      <c r="G92" s="51"/>
      <c r="H92" s="51"/>
      <c r="I92" s="56"/>
      <c r="J92" s="35"/>
    </row>
    <row r="93" spans="2:15" x14ac:dyDescent="0.35">
      <c r="B93" s="55"/>
      <c r="C93" s="51"/>
      <c r="D93" s="51"/>
      <c r="E93" s="51"/>
      <c r="F93" s="51"/>
      <c r="G93" s="51"/>
      <c r="H93" s="51"/>
      <c r="I93" s="56"/>
      <c r="J93" s="35"/>
    </row>
    <row r="94" spans="2:15" x14ac:dyDescent="0.35">
      <c r="B94" s="55"/>
      <c r="C94" s="51"/>
      <c r="D94" s="51"/>
      <c r="E94" s="51"/>
      <c r="F94" s="51"/>
      <c r="G94" s="51"/>
      <c r="H94" s="51"/>
      <c r="I94" s="56"/>
      <c r="J94" s="35"/>
    </row>
    <row r="95" spans="2:15" x14ac:dyDescent="0.35">
      <c r="B95" s="55"/>
      <c r="C95" s="51"/>
      <c r="D95" s="51"/>
      <c r="E95" s="51"/>
      <c r="F95" s="51"/>
      <c r="G95" s="51"/>
      <c r="H95" s="51"/>
      <c r="I95" s="56"/>
      <c r="J95" s="35"/>
    </row>
    <row r="96" spans="2:15" x14ac:dyDescent="0.35">
      <c r="B96" s="55"/>
      <c r="C96" s="51"/>
      <c r="D96" s="51"/>
      <c r="E96" s="51"/>
      <c r="F96" s="51"/>
      <c r="G96" s="51"/>
      <c r="H96" s="51"/>
      <c r="I96" s="56"/>
      <c r="J96" s="35"/>
    </row>
    <row r="97" spans="2:10" x14ac:dyDescent="0.35">
      <c r="B97" s="55"/>
      <c r="C97" s="51"/>
      <c r="D97" s="51"/>
      <c r="E97" s="51"/>
      <c r="F97" s="51"/>
      <c r="G97" s="51"/>
      <c r="H97" s="51"/>
      <c r="I97" s="56"/>
      <c r="J97" s="35"/>
    </row>
    <row r="98" spans="2:10" x14ac:dyDescent="0.35">
      <c r="B98" s="55"/>
      <c r="C98" s="51"/>
      <c r="D98" s="51"/>
      <c r="E98" s="51"/>
      <c r="F98" s="51"/>
      <c r="G98" s="51"/>
      <c r="H98" s="51"/>
      <c r="I98" s="56"/>
      <c r="J98" s="35"/>
    </row>
    <row r="99" spans="2:10" x14ac:dyDescent="0.35">
      <c r="B99" s="55"/>
      <c r="C99" s="51"/>
      <c r="D99" s="51"/>
      <c r="E99" s="51"/>
      <c r="F99" s="51"/>
      <c r="G99" s="51"/>
      <c r="H99" s="51"/>
      <c r="I99" s="56"/>
      <c r="J99" s="35"/>
    </row>
    <row r="100" spans="2:10" x14ac:dyDescent="0.35">
      <c r="B100" s="55"/>
      <c r="C100" s="51"/>
      <c r="D100" s="51"/>
      <c r="E100" s="51"/>
      <c r="F100" s="51"/>
      <c r="G100" s="51"/>
      <c r="H100" s="51"/>
      <c r="I100" s="56"/>
      <c r="J100" s="35"/>
    </row>
    <row r="101" spans="2:10" x14ac:dyDescent="0.35">
      <c r="B101" s="55"/>
      <c r="C101" s="51"/>
      <c r="D101" s="51"/>
      <c r="E101" s="51"/>
      <c r="F101" s="51"/>
      <c r="G101" s="51"/>
      <c r="H101" s="51"/>
      <c r="I101" s="56"/>
      <c r="J101" s="35"/>
    </row>
    <row r="102" spans="2:10" x14ac:dyDescent="0.35">
      <c r="B102" s="55"/>
      <c r="C102" s="51"/>
      <c r="D102" s="51"/>
      <c r="E102" s="51"/>
      <c r="F102" s="51"/>
      <c r="G102" s="51"/>
      <c r="H102" s="51"/>
      <c r="I102" s="56"/>
      <c r="J102" s="35"/>
    </row>
    <row r="103" spans="2:10" x14ac:dyDescent="0.35">
      <c r="B103" s="55"/>
      <c r="C103" s="51"/>
      <c r="D103" s="51"/>
      <c r="E103" s="51"/>
      <c r="F103" s="51"/>
      <c r="G103" s="51"/>
      <c r="H103" s="51"/>
      <c r="I103" s="56"/>
      <c r="J103" s="35"/>
    </row>
    <row r="104" spans="2:10" x14ac:dyDescent="0.35">
      <c r="B104" s="55"/>
      <c r="C104" s="51"/>
      <c r="D104" s="51"/>
      <c r="E104" s="51"/>
      <c r="F104" s="51"/>
      <c r="G104" s="51"/>
      <c r="H104" s="51"/>
      <c r="I104" s="56"/>
      <c r="J104" s="35"/>
    </row>
    <row r="105" spans="2:10" x14ac:dyDescent="0.35">
      <c r="B105" s="55"/>
      <c r="C105" s="51"/>
      <c r="D105" s="51"/>
      <c r="E105" s="51"/>
      <c r="F105" s="51"/>
      <c r="G105" s="51"/>
      <c r="H105" s="51"/>
      <c r="I105" s="56"/>
      <c r="J105" s="35"/>
    </row>
    <row r="106" spans="2:10" x14ac:dyDescent="0.35">
      <c r="B106" s="55"/>
      <c r="C106" s="51"/>
      <c r="D106" s="51"/>
      <c r="E106" s="51"/>
      <c r="F106" s="51"/>
      <c r="G106" s="51"/>
      <c r="H106" s="51"/>
      <c r="I106" s="56"/>
      <c r="J106" s="35"/>
    </row>
    <row r="107" spans="2:10" x14ac:dyDescent="0.35">
      <c r="B107" s="55"/>
      <c r="C107" s="51"/>
      <c r="D107" s="51"/>
      <c r="E107" s="51"/>
      <c r="F107" s="51"/>
      <c r="G107" s="51"/>
      <c r="H107" s="51"/>
      <c r="I107" s="56"/>
      <c r="J107" s="35"/>
    </row>
    <row r="108" spans="2:10" x14ac:dyDescent="0.35">
      <c r="B108" s="55"/>
      <c r="C108" s="51"/>
      <c r="D108" s="51"/>
      <c r="E108" s="51"/>
      <c r="F108" s="51"/>
      <c r="G108" s="51"/>
      <c r="H108" s="51"/>
      <c r="I108" s="56"/>
      <c r="J108" s="35"/>
    </row>
    <row r="109" spans="2:10" x14ac:dyDescent="0.35">
      <c r="B109" s="55"/>
      <c r="C109" s="51"/>
      <c r="D109" s="51"/>
      <c r="E109" s="51"/>
      <c r="F109" s="51"/>
      <c r="G109" s="51"/>
      <c r="H109" s="51"/>
      <c r="I109" s="56"/>
      <c r="J109" s="35"/>
    </row>
    <row r="110" spans="2:10" x14ac:dyDescent="0.35">
      <c r="B110" s="55"/>
      <c r="C110" s="51"/>
      <c r="D110" s="51"/>
      <c r="E110" s="51"/>
      <c r="F110" s="51"/>
      <c r="G110" s="51"/>
      <c r="H110" s="51"/>
      <c r="I110" s="56"/>
      <c r="J110" s="35"/>
    </row>
    <row r="111" spans="2:10" x14ac:dyDescent="0.35">
      <c r="B111" s="55"/>
      <c r="C111" s="51"/>
      <c r="D111" s="51"/>
      <c r="E111" s="51"/>
      <c r="F111" s="51"/>
      <c r="G111" s="51"/>
      <c r="H111" s="51"/>
      <c r="I111" s="56"/>
      <c r="J111" s="35"/>
    </row>
    <row r="112" spans="2:10" x14ac:dyDescent="0.35">
      <c r="B112" s="55"/>
      <c r="C112" s="51"/>
      <c r="D112" s="51"/>
      <c r="E112" s="51"/>
      <c r="F112" s="51"/>
      <c r="G112" s="51"/>
      <c r="H112" s="51"/>
      <c r="I112" s="56"/>
      <c r="J112" s="35"/>
    </row>
    <row r="113" spans="2:10" x14ac:dyDescent="0.35">
      <c r="B113" s="55"/>
      <c r="C113" s="51"/>
      <c r="D113" s="51"/>
      <c r="E113" s="51"/>
      <c r="F113" s="51"/>
      <c r="G113" s="51"/>
      <c r="H113" s="51"/>
      <c r="I113" s="56"/>
      <c r="J113" s="35"/>
    </row>
    <row r="114" spans="2:10" x14ac:dyDescent="0.35">
      <c r="B114" s="55"/>
      <c r="C114" s="51"/>
      <c r="D114" s="51"/>
      <c r="E114" s="51"/>
      <c r="F114" s="51"/>
      <c r="G114" s="51"/>
      <c r="H114" s="51"/>
      <c r="I114" s="56"/>
      <c r="J114" s="35"/>
    </row>
    <row r="115" spans="2:10" x14ac:dyDescent="0.35">
      <c r="B115" s="55"/>
      <c r="C115" s="51"/>
      <c r="D115" s="51"/>
      <c r="E115" s="51"/>
      <c r="F115" s="51"/>
      <c r="G115" s="51"/>
      <c r="H115" s="51"/>
      <c r="I115" s="56"/>
      <c r="J115" s="35"/>
    </row>
    <row r="116" spans="2:10" x14ac:dyDescent="0.35">
      <c r="B116" s="55"/>
      <c r="C116" s="51"/>
      <c r="D116" s="51"/>
      <c r="E116" s="51"/>
      <c r="F116" s="51"/>
      <c r="G116" s="51"/>
      <c r="H116" s="51"/>
      <c r="I116" s="56"/>
      <c r="J116" s="35"/>
    </row>
    <row r="117" spans="2:10" x14ac:dyDescent="0.35">
      <c r="B117" s="55"/>
      <c r="C117" s="51"/>
      <c r="D117" s="51"/>
      <c r="E117" s="51"/>
      <c r="F117" s="51"/>
      <c r="G117" s="51"/>
      <c r="H117" s="51"/>
      <c r="I117" s="56"/>
      <c r="J117" s="35"/>
    </row>
    <row r="118" spans="2:10" x14ac:dyDescent="0.35">
      <c r="B118" s="55"/>
      <c r="C118" s="51"/>
      <c r="D118" s="51"/>
      <c r="E118" s="51"/>
      <c r="F118" s="51"/>
      <c r="G118" s="51"/>
      <c r="H118" s="51"/>
      <c r="I118" s="56"/>
      <c r="J118" s="35"/>
    </row>
    <row r="119" spans="2:10" x14ac:dyDescent="0.35">
      <c r="B119" s="55"/>
      <c r="C119" s="51"/>
      <c r="D119" s="51"/>
      <c r="E119" s="51"/>
      <c r="F119" s="51"/>
      <c r="G119" s="51"/>
      <c r="H119" s="51"/>
      <c r="I119" s="56"/>
      <c r="J119" s="35"/>
    </row>
    <row r="120" spans="2:10" x14ac:dyDescent="0.35">
      <c r="B120" s="55"/>
      <c r="C120" s="51"/>
      <c r="D120" s="51"/>
      <c r="E120" s="51"/>
      <c r="F120" s="51"/>
      <c r="G120" s="51"/>
      <c r="H120" s="51"/>
      <c r="I120" s="56"/>
      <c r="J120" s="35"/>
    </row>
    <row r="121" spans="2:10" x14ac:dyDescent="0.35">
      <c r="B121" s="55"/>
      <c r="C121" s="51"/>
      <c r="D121" s="51"/>
      <c r="E121" s="51"/>
      <c r="F121" s="51"/>
      <c r="G121" s="51"/>
      <c r="H121" s="51"/>
      <c r="I121" s="56"/>
    </row>
    <row r="122" spans="2:10" x14ac:dyDescent="0.35">
      <c r="B122" s="55"/>
      <c r="C122" s="51"/>
      <c r="D122" s="51"/>
      <c r="E122" s="51"/>
      <c r="F122" s="51"/>
      <c r="G122" s="51"/>
      <c r="H122" s="51"/>
      <c r="I122" s="56"/>
    </row>
    <row r="123" spans="2:10" x14ac:dyDescent="0.35">
      <c r="B123" s="55"/>
      <c r="C123" s="51"/>
      <c r="D123" s="51"/>
      <c r="E123" s="51"/>
      <c r="F123" s="51"/>
      <c r="G123" s="51"/>
      <c r="H123" s="51"/>
      <c r="I123" s="56"/>
    </row>
    <row r="124" spans="2:10" x14ac:dyDescent="0.35">
      <c r="B124" s="55"/>
      <c r="C124" s="51"/>
      <c r="D124" s="51"/>
      <c r="E124" s="51"/>
      <c r="F124" s="51"/>
      <c r="G124" s="51"/>
      <c r="H124" s="51"/>
      <c r="I124" s="56"/>
    </row>
    <row r="125" spans="2:10" x14ac:dyDescent="0.35">
      <c r="B125" s="55"/>
      <c r="C125" s="51"/>
      <c r="D125" s="51"/>
      <c r="E125" s="51"/>
      <c r="F125" s="51"/>
      <c r="G125" s="51"/>
      <c r="H125" s="51"/>
      <c r="I125" s="56"/>
    </row>
    <row r="126" spans="2:10" x14ac:dyDescent="0.35">
      <c r="B126" s="55"/>
      <c r="C126" s="51"/>
      <c r="D126" s="51"/>
      <c r="E126" s="51"/>
      <c r="F126" s="51"/>
      <c r="G126" s="51"/>
      <c r="H126" s="51"/>
      <c r="I126" s="56"/>
    </row>
    <row r="127" spans="2:10" x14ac:dyDescent="0.35">
      <c r="B127" s="55"/>
      <c r="C127" s="51"/>
      <c r="D127" s="51"/>
      <c r="E127" s="51"/>
      <c r="F127" s="51"/>
      <c r="G127" s="51"/>
      <c r="H127" s="51"/>
      <c r="I127" s="56"/>
    </row>
    <row r="128" spans="2:10" x14ac:dyDescent="0.35">
      <c r="B128" s="55"/>
      <c r="C128" s="51"/>
      <c r="D128" s="51"/>
      <c r="E128" s="51"/>
      <c r="F128" s="51"/>
      <c r="G128" s="51"/>
      <c r="H128" s="51"/>
      <c r="I128" s="56"/>
    </row>
    <row r="129" spans="2:9" x14ac:dyDescent="0.35">
      <c r="B129" s="55"/>
      <c r="C129" s="51"/>
      <c r="D129" s="51"/>
      <c r="E129" s="51"/>
      <c r="F129" s="51"/>
      <c r="G129" s="51"/>
      <c r="H129" s="51"/>
      <c r="I129" s="56"/>
    </row>
    <row r="130" spans="2:9" x14ac:dyDescent="0.35">
      <c r="B130" s="55"/>
      <c r="C130" s="51"/>
      <c r="D130" s="51"/>
      <c r="E130" s="51"/>
      <c r="F130" s="51"/>
      <c r="G130" s="51"/>
      <c r="H130" s="51"/>
      <c r="I130" s="56"/>
    </row>
    <row r="131" spans="2:9" x14ac:dyDescent="0.35">
      <c r="B131" s="55"/>
      <c r="C131" s="51"/>
      <c r="D131" s="51"/>
      <c r="E131" s="51"/>
      <c r="F131" s="51"/>
      <c r="G131" s="51"/>
      <c r="H131" s="51"/>
      <c r="I131" s="56"/>
    </row>
    <row r="132" spans="2:9" x14ac:dyDescent="0.35">
      <c r="B132" s="55"/>
      <c r="C132" s="51"/>
      <c r="D132" s="51"/>
      <c r="E132" s="51"/>
      <c r="F132" s="51"/>
      <c r="G132" s="51"/>
      <c r="H132" s="51"/>
      <c r="I132" s="56"/>
    </row>
    <row r="133" spans="2:9" x14ac:dyDescent="0.35">
      <c r="B133" s="55"/>
      <c r="C133" s="51"/>
      <c r="D133" s="51"/>
      <c r="E133" s="51"/>
      <c r="F133" s="51"/>
      <c r="G133" s="51"/>
      <c r="H133" s="51"/>
      <c r="I133" s="56"/>
    </row>
    <row r="134" spans="2:9" x14ac:dyDescent="0.35">
      <c r="B134" s="55"/>
      <c r="C134" s="51"/>
      <c r="D134" s="51"/>
      <c r="E134" s="51"/>
      <c r="F134" s="51"/>
      <c r="G134" s="51"/>
      <c r="H134" s="51"/>
      <c r="I134" s="56"/>
    </row>
    <row r="135" spans="2:9" x14ac:dyDescent="0.35">
      <c r="B135" s="55"/>
      <c r="C135" s="51"/>
      <c r="D135" s="51"/>
      <c r="E135" s="51"/>
      <c r="F135" s="51"/>
      <c r="G135" s="51"/>
      <c r="H135" s="51"/>
      <c r="I135" s="56"/>
    </row>
    <row r="136" spans="2:9" x14ac:dyDescent="0.35">
      <c r="B136" s="55"/>
      <c r="C136" s="51"/>
      <c r="D136" s="51"/>
      <c r="E136" s="51"/>
      <c r="F136" s="51"/>
      <c r="G136" s="51"/>
      <c r="H136" s="51"/>
      <c r="I136" s="56"/>
    </row>
    <row r="137" spans="2:9" x14ac:dyDescent="0.35">
      <c r="B137" s="55"/>
      <c r="C137" s="51"/>
      <c r="D137" s="51"/>
      <c r="E137" s="51"/>
      <c r="F137" s="51"/>
      <c r="G137" s="51"/>
      <c r="H137" s="51"/>
      <c r="I137" s="56"/>
    </row>
    <row r="138" spans="2:9" x14ac:dyDescent="0.35">
      <c r="B138" s="55"/>
      <c r="C138" s="51"/>
      <c r="D138" s="51"/>
      <c r="E138" s="51"/>
      <c r="F138" s="51"/>
      <c r="G138" s="51"/>
      <c r="H138" s="51"/>
      <c r="I138" s="56"/>
    </row>
    <row r="139" spans="2:9" x14ac:dyDescent="0.35">
      <c r="B139" s="55"/>
      <c r="C139" s="51"/>
      <c r="D139" s="51"/>
      <c r="E139" s="51"/>
      <c r="F139" s="51"/>
      <c r="G139" s="51"/>
      <c r="H139" s="51"/>
      <c r="I139" s="56"/>
    </row>
    <row r="140" spans="2:9" x14ac:dyDescent="0.35">
      <c r="B140" s="55"/>
      <c r="C140" s="51"/>
      <c r="D140" s="51"/>
      <c r="E140" s="51"/>
      <c r="F140" s="51"/>
      <c r="G140" s="51"/>
      <c r="H140" s="51"/>
      <c r="I140" s="56"/>
    </row>
    <row r="141" spans="2:9" x14ac:dyDescent="0.35">
      <c r="B141" s="55"/>
      <c r="C141" s="51"/>
      <c r="D141" s="51"/>
      <c r="E141" s="51"/>
      <c r="F141" s="51"/>
      <c r="G141" s="51"/>
      <c r="H141" s="51"/>
      <c r="I141" s="56"/>
    </row>
    <row r="142" spans="2:9" x14ac:dyDescent="0.35">
      <c r="B142" s="55"/>
      <c r="C142" s="51"/>
      <c r="D142" s="51"/>
      <c r="E142" s="51"/>
      <c r="F142" s="51"/>
      <c r="G142" s="51"/>
      <c r="H142" s="51"/>
      <c r="I142" s="56"/>
    </row>
    <row r="143" spans="2:9" x14ac:dyDescent="0.35">
      <c r="B143" s="55"/>
      <c r="C143" s="51"/>
      <c r="D143" s="51"/>
      <c r="E143" s="51"/>
      <c r="F143" s="51"/>
      <c r="G143" s="51"/>
      <c r="H143" s="51"/>
      <c r="I143" s="56"/>
    </row>
    <row r="144" spans="2:9" x14ac:dyDescent="0.35">
      <c r="B144" s="55"/>
      <c r="C144" s="51"/>
      <c r="D144" s="51"/>
      <c r="E144" s="51"/>
      <c r="F144" s="51"/>
      <c r="G144" s="51"/>
      <c r="H144" s="51"/>
      <c r="I144" s="56"/>
    </row>
    <row r="145" spans="2:9" x14ac:dyDescent="0.35">
      <c r="B145" s="55"/>
      <c r="C145" s="51"/>
      <c r="D145" s="51"/>
      <c r="E145" s="51"/>
      <c r="F145" s="51"/>
      <c r="G145" s="51"/>
      <c r="H145" s="51"/>
      <c r="I145" s="56"/>
    </row>
    <row r="146" spans="2:9" x14ac:dyDescent="0.35">
      <c r="B146" s="55"/>
      <c r="C146" s="51"/>
      <c r="D146" s="51"/>
      <c r="E146" s="51"/>
      <c r="F146" s="51"/>
      <c r="G146" s="51"/>
      <c r="H146" s="51"/>
      <c r="I146" s="56"/>
    </row>
    <row r="147" spans="2:9" x14ac:dyDescent="0.35">
      <c r="B147" s="55"/>
      <c r="C147" s="51"/>
      <c r="D147" s="51"/>
      <c r="E147" s="51"/>
      <c r="F147" s="51"/>
      <c r="G147" s="51"/>
      <c r="H147" s="51"/>
      <c r="I147" s="56"/>
    </row>
    <row r="148" spans="2:9" x14ac:dyDescent="0.35">
      <c r="B148" s="55"/>
      <c r="C148" s="51"/>
      <c r="D148" s="51"/>
      <c r="E148" s="51"/>
      <c r="F148" s="51"/>
      <c r="G148" s="51"/>
      <c r="H148" s="51"/>
      <c r="I148" s="56"/>
    </row>
    <row r="149" spans="2:9" x14ac:dyDescent="0.35">
      <c r="B149" s="55"/>
      <c r="C149" s="51"/>
      <c r="D149" s="51"/>
      <c r="E149" s="51"/>
      <c r="F149" s="51"/>
      <c r="G149" s="51"/>
      <c r="H149" s="51"/>
      <c r="I149" s="56"/>
    </row>
    <row r="150" spans="2:9" x14ac:dyDescent="0.35">
      <c r="B150" s="57"/>
      <c r="C150" s="58"/>
      <c r="D150" s="58"/>
      <c r="E150" s="58"/>
      <c r="F150" s="58"/>
      <c r="G150" s="58"/>
      <c r="H150" s="58"/>
      <c r="I150" s="59"/>
    </row>
  </sheetData>
  <mergeCells count="16">
    <mergeCell ref="K89:O89"/>
    <mergeCell ref="B83:I150"/>
    <mergeCell ref="B3:I37"/>
    <mergeCell ref="B40:I80"/>
    <mergeCell ref="K43:O43"/>
    <mergeCell ref="K42:N42"/>
    <mergeCell ref="K41:N41"/>
    <mergeCell ref="K44:L44"/>
    <mergeCell ref="K45:N45"/>
    <mergeCell ref="K46:M46"/>
    <mergeCell ref="K47:Q47"/>
    <mergeCell ref="K84:N84"/>
    <mergeCell ref="K85:N85"/>
    <mergeCell ref="K86:N86"/>
    <mergeCell ref="K87:L87"/>
    <mergeCell ref="K88:N88"/>
  </mergeCells>
  <phoneticPr fontId="3" type="noConversion"/>
  <conditionalFormatting sqref="K4">
    <cfRule type="duplicateValues" dxfId="400" priority="2"/>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C7234-7A49-404D-A05C-A6BC71D1D122}">
  <dimension ref="A2:L164"/>
  <sheetViews>
    <sheetView topLeftCell="A145" zoomScaleNormal="100" workbookViewId="0">
      <selection activeCell="N20" sqref="N20"/>
    </sheetView>
  </sheetViews>
  <sheetFormatPr defaultColWidth="8.7265625" defaultRowHeight="14.5" x14ac:dyDescent="0.35"/>
  <cols>
    <col min="1" max="1" width="20.1796875" style="1" bestFit="1" customWidth="1"/>
    <col min="2" max="2" width="19.54296875" style="1" bestFit="1" customWidth="1"/>
    <col min="3" max="3" width="18.81640625" style="1" customWidth="1"/>
    <col min="4" max="4" width="15.54296875" style="1" bestFit="1" customWidth="1"/>
    <col min="5" max="5" width="12.7265625" style="11" bestFit="1" customWidth="1"/>
    <col min="6" max="6" width="17.26953125" style="11" bestFit="1" customWidth="1"/>
    <col min="7" max="7" width="13.54296875" style="11" customWidth="1"/>
    <col min="8" max="8" width="22.81640625" style="6" customWidth="1"/>
    <col min="9" max="9" width="17.7265625" style="11" customWidth="1"/>
    <col min="10" max="10" width="14.26953125" style="1" customWidth="1"/>
    <col min="11" max="11" width="22.1796875" style="1" bestFit="1" customWidth="1"/>
    <col min="12" max="12" width="12.81640625" style="1" bestFit="1" customWidth="1"/>
    <col min="13" max="16384" width="8.7265625" style="1"/>
  </cols>
  <sheetData>
    <row r="2" spans="1:11" s="6" customFormat="1" ht="55.5" x14ac:dyDescent="0.35">
      <c r="A2" s="9" t="s">
        <v>0</v>
      </c>
      <c r="B2" s="9" t="s">
        <v>402</v>
      </c>
      <c r="C2" s="10" t="s">
        <v>403</v>
      </c>
      <c r="D2" s="9" t="s">
        <v>310</v>
      </c>
      <c r="E2" s="9" t="s">
        <v>4</v>
      </c>
      <c r="F2" s="10" t="s">
        <v>304</v>
      </c>
      <c r="G2" s="24" t="s">
        <v>305</v>
      </c>
      <c r="H2" s="9" t="s">
        <v>427</v>
      </c>
      <c r="I2" s="24" t="s">
        <v>6</v>
      </c>
      <c r="J2" s="10" t="s">
        <v>309</v>
      </c>
      <c r="K2" s="16" t="s">
        <v>8</v>
      </c>
    </row>
    <row r="3" spans="1:11" x14ac:dyDescent="0.35">
      <c r="A3" s="2" t="s">
        <v>9</v>
      </c>
      <c r="B3" s="2" t="s">
        <v>178</v>
      </c>
      <c r="C3" s="2" t="s">
        <v>335</v>
      </c>
      <c r="D3" s="2" t="s">
        <v>340</v>
      </c>
      <c r="E3" s="22" t="s">
        <v>177</v>
      </c>
      <c r="F3" s="22" t="str">
        <f>SUBSTITUTE(E3,"N/A","0")</f>
        <v>0</v>
      </c>
      <c r="G3" s="22">
        <v>65605</v>
      </c>
      <c r="H3" s="20" t="s">
        <v>178</v>
      </c>
      <c r="I3" s="17">
        <v>2</v>
      </c>
      <c r="J3" s="2" t="s">
        <v>178</v>
      </c>
      <c r="K3" s="2" t="s">
        <v>182</v>
      </c>
    </row>
    <row r="4" spans="1:11" x14ac:dyDescent="0.35">
      <c r="A4" s="2" t="s">
        <v>10</v>
      </c>
      <c r="B4" s="2" t="s">
        <v>159</v>
      </c>
      <c r="C4" s="2" t="s">
        <v>167</v>
      </c>
      <c r="D4" s="2" t="s">
        <v>341</v>
      </c>
      <c r="E4" s="22">
        <v>54255</v>
      </c>
      <c r="F4" s="22" t="str">
        <f t="shared" ref="F4:F67" si="0">SUBSTITUTE(E4,"N/A","0")</f>
        <v>54255</v>
      </c>
      <c r="G4" s="22">
        <v>54255</v>
      </c>
      <c r="H4" s="20">
        <v>42015</v>
      </c>
      <c r="I4" s="17">
        <v>1</v>
      </c>
      <c r="J4" s="2" t="s">
        <v>179</v>
      </c>
      <c r="K4" s="2" t="s">
        <v>183</v>
      </c>
    </row>
    <row r="5" spans="1:11" x14ac:dyDescent="0.35">
      <c r="A5" s="2" t="s">
        <v>11</v>
      </c>
      <c r="B5" s="2" t="s">
        <v>160</v>
      </c>
      <c r="C5" s="2" t="s">
        <v>335</v>
      </c>
      <c r="D5" s="2" t="s">
        <v>341</v>
      </c>
      <c r="E5" s="22">
        <v>63184</v>
      </c>
      <c r="F5" s="22" t="str">
        <f t="shared" si="0"/>
        <v>63184</v>
      </c>
      <c r="G5" s="22">
        <v>63184</v>
      </c>
      <c r="H5" s="20">
        <v>42022</v>
      </c>
      <c r="I5" s="17">
        <v>2</v>
      </c>
      <c r="J5" s="2" t="s">
        <v>178</v>
      </c>
      <c r="K5" s="2" t="s">
        <v>184</v>
      </c>
    </row>
    <row r="6" spans="1:11" x14ac:dyDescent="0.35">
      <c r="A6" s="2" t="s">
        <v>12</v>
      </c>
      <c r="B6" s="2" t="s">
        <v>161</v>
      </c>
      <c r="C6" s="2" t="s">
        <v>336</v>
      </c>
      <c r="D6" s="2" t="s">
        <v>342</v>
      </c>
      <c r="E6" s="22">
        <v>94406</v>
      </c>
      <c r="F6" s="22" t="str">
        <f t="shared" si="0"/>
        <v>94406</v>
      </c>
      <c r="G6" s="22">
        <v>94406</v>
      </c>
      <c r="H6" s="20">
        <v>42029</v>
      </c>
      <c r="I6" s="17">
        <v>1</v>
      </c>
      <c r="J6" s="2" t="s">
        <v>180</v>
      </c>
      <c r="K6" s="2" t="s">
        <v>185</v>
      </c>
    </row>
    <row r="7" spans="1:11" x14ac:dyDescent="0.35">
      <c r="A7" s="2" t="s">
        <v>13</v>
      </c>
      <c r="B7" s="2" t="s">
        <v>162</v>
      </c>
      <c r="C7" s="2" t="s">
        <v>336</v>
      </c>
      <c r="D7" s="2" t="s">
        <v>341</v>
      </c>
      <c r="E7" s="22">
        <v>64120</v>
      </c>
      <c r="F7" s="22" t="str">
        <f t="shared" si="0"/>
        <v>64120</v>
      </c>
      <c r="G7" s="22">
        <v>64120</v>
      </c>
      <c r="H7" s="20">
        <v>42036</v>
      </c>
      <c r="I7" s="17">
        <v>1</v>
      </c>
      <c r="J7" s="2" t="s">
        <v>180</v>
      </c>
      <c r="K7" s="2" t="s">
        <v>186</v>
      </c>
    </row>
    <row r="8" spans="1:11" x14ac:dyDescent="0.35">
      <c r="A8" s="2" t="s">
        <v>14</v>
      </c>
      <c r="B8" s="2" t="s">
        <v>160</v>
      </c>
      <c r="C8" s="2" t="s">
        <v>169</v>
      </c>
      <c r="D8" s="2" t="s">
        <v>343</v>
      </c>
      <c r="E8" s="22">
        <v>78421</v>
      </c>
      <c r="F8" s="22" t="str">
        <f t="shared" si="0"/>
        <v>78421</v>
      </c>
      <c r="G8" s="22">
        <v>78421</v>
      </c>
      <c r="H8" s="20">
        <v>42043</v>
      </c>
      <c r="I8" s="17">
        <v>2</v>
      </c>
      <c r="J8" s="2" t="s">
        <v>181</v>
      </c>
      <c r="K8" s="2" t="s">
        <v>187</v>
      </c>
    </row>
    <row r="9" spans="1:11" x14ac:dyDescent="0.35">
      <c r="A9" s="2" t="s">
        <v>15</v>
      </c>
      <c r="B9" s="2" t="s">
        <v>163</v>
      </c>
      <c r="C9" s="2" t="s">
        <v>336</v>
      </c>
      <c r="D9" s="2" t="s">
        <v>340</v>
      </c>
      <c r="E9" s="22">
        <v>67721</v>
      </c>
      <c r="F9" s="22" t="str">
        <f t="shared" si="0"/>
        <v>67721</v>
      </c>
      <c r="G9" s="22">
        <v>67721</v>
      </c>
      <c r="H9" s="20">
        <v>42050</v>
      </c>
      <c r="I9" s="17">
        <v>3</v>
      </c>
      <c r="J9" s="2" t="s">
        <v>180</v>
      </c>
      <c r="K9" s="2" t="s">
        <v>185</v>
      </c>
    </row>
    <row r="10" spans="1:11" x14ac:dyDescent="0.35">
      <c r="A10" s="2" t="s">
        <v>16</v>
      </c>
      <c r="B10" s="2" t="s">
        <v>164</v>
      </c>
      <c r="C10" s="2" t="s">
        <v>337</v>
      </c>
      <c r="D10" s="2" t="s">
        <v>340</v>
      </c>
      <c r="E10" s="22">
        <v>35364</v>
      </c>
      <c r="F10" s="22" t="str">
        <f t="shared" si="0"/>
        <v>35364</v>
      </c>
      <c r="G10" s="22">
        <v>35364</v>
      </c>
      <c r="H10" s="20">
        <v>42057</v>
      </c>
      <c r="I10" s="17">
        <v>2</v>
      </c>
      <c r="J10" s="2" t="s">
        <v>179</v>
      </c>
      <c r="K10" s="2" t="s">
        <v>188</v>
      </c>
    </row>
    <row r="11" spans="1:11" x14ac:dyDescent="0.35">
      <c r="A11" s="2" t="s">
        <v>17</v>
      </c>
      <c r="B11" s="2" t="s">
        <v>160</v>
      </c>
      <c r="C11" s="2" t="s">
        <v>169</v>
      </c>
      <c r="D11" s="2" t="s">
        <v>341</v>
      </c>
      <c r="E11" s="22">
        <v>97881</v>
      </c>
      <c r="F11" s="22" t="str">
        <f t="shared" si="0"/>
        <v>97881</v>
      </c>
      <c r="G11" s="22">
        <v>97881</v>
      </c>
      <c r="H11" s="20">
        <v>42064</v>
      </c>
      <c r="I11" s="17">
        <v>3</v>
      </c>
      <c r="J11" s="2" t="s">
        <v>181</v>
      </c>
      <c r="K11" s="2" t="s">
        <v>189</v>
      </c>
    </row>
    <row r="12" spans="1:11" x14ac:dyDescent="0.35">
      <c r="A12" s="2" t="s">
        <v>18</v>
      </c>
      <c r="B12" s="2" t="s">
        <v>164</v>
      </c>
      <c r="C12" s="2" t="s">
        <v>167</v>
      </c>
      <c r="D12" s="2" t="s">
        <v>344</v>
      </c>
      <c r="E12" s="22">
        <v>91846</v>
      </c>
      <c r="F12" s="22" t="str">
        <f t="shared" si="0"/>
        <v>91846</v>
      </c>
      <c r="G12" s="22">
        <v>91846</v>
      </c>
      <c r="H12" s="20">
        <v>42071</v>
      </c>
      <c r="I12" s="17">
        <v>3</v>
      </c>
      <c r="J12" s="2" t="s">
        <v>180</v>
      </c>
      <c r="K12" s="2" t="s">
        <v>190</v>
      </c>
    </row>
    <row r="13" spans="1:11" x14ac:dyDescent="0.35">
      <c r="A13" s="2" t="s">
        <v>19</v>
      </c>
      <c r="B13" s="2" t="s">
        <v>163</v>
      </c>
      <c r="C13" s="2" t="s">
        <v>335</v>
      </c>
      <c r="D13" s="2" t="s">
        <v>344</v>
      </c>
      <c r="E13" s="22">
        <v>64247</v>
      </c>
      <c r="F13" s="22" t="str">
        <f t="shared" si="0"/>
        <v>64247</v>
      </c>
      <c r="G13" s="22">
        <v>64247</v>
      </c>
      <c r="H13" s="20">
        <v>42078</v>
      </c>
      <c r="I13" s="17">
        <v>1</v>
      </c>
      <c r="J13" s="2" t="s">
        <v>181</v>
      </c>
      <c r="K13" s="2" t="s">
        <v>191</v>
      </c>
    </row>
    <row r="14" spans="1:11" x14ac:dyDescent="0.35">
      <c r="A14" s="2" t="s">
        <v>20</v>
      </c>
      <c r="B14" s="2" t="s">
        <v>163</v>
      </c>
      <c r="C14" s="2" t="s">
        <v>169</v>
      </c>
      <c r="D14" s="2" t="s">
        <v>342</v>
      </c>
      <c r="E14" s="22">
        <v>91180</v>
      </c>
      <c r="F14" s="22" t="str">
        <f t="shared" si="0"/>
        <v>91180</v>
      </c>
      <c r="G14" s="22">
        <v>91180</v>
      </c>
      <c r="H14" s="20">
        <v>42085</v>
      </c>
      <c r="I14" s="17">
        <v>5</v>
      </c>
      <c r="J14" s="2" t="s">
        <v>180</v>
      </c>
      <c r="K14" s="2" t="s">
        <v>192</v>
      </c>
    </row>
    <row r="15" spans="1:11" x14ac:dyDescent="0.35">
      <c r="A15" s="2" t="s">
        <v>21</v>
      </c>
      <c r="B15" s="2" t="s">
        <v>165</v>
      </c>
      <c r="C15" s="2" t="s">
        <v>336</v>
      </c>
      <c r="D15" s="2" t="s">
        <v>340</v>
      </c>
      <c r="E15" s="22">
        <v>96418</v>
      </c>
      <c r="F15" s="22" t="str">
        <f t="shared" si="0"/>
        <v>96418</v>
      </c>
      <c r="G15" s="22">
        <v>96418</v>
      </c>
      <c r="H15" s="20">
        <v>42092</v>
      </c>
      <c r="I15" s="17">
        <v>5</v>
      </c>
      <c r="J15" s="2" t="s">
        <v>180</v>
      </c>
      <c r="K15" s="2" t="s">
        <v>183</v>
      </c>
    </row>
    <row r="16" spans="1:11" x14ac:dyDescent="0.35">
      <c r="A16" s="2" t="s">
        <v>22</v>
      </c>
      <c r="B16" s="2" t="s">
        <v>163</v>
      </c>
      <c r="C16" s="2" t="s">
        <v>338</v>
      </c>
      <c r="D16" s="2" t="s">
        <v>343</v>
      </c>
      <c r="E16" s="22">
        <v>62158</v>
      </c>
      <c r="F16" s="22" t="str">
        <f t="shared" si="0"/>
        <v>62158</v>
      </c>
      <c r="G16" s="22">
        <v>62158</v>
      </c>
      <c r="H16" s="20">
        <v>42099</v>
      </c>
      <c r="I16" s="17">
        <v>4</v>
      </c>
      <c r="J16" s="2" t="s">
        <v>178</v>
      </c>
      <c r="K16" s="2" t="s">
        <v>193</v>
      </c>
    </row>
    <row r="17" spans="1:11" x14ac:dyDescent="0.35">
      <c r="A17" s="2" t="s">
        <v>23</v>
      </c>
      <c r="B17" s="2" t="s">
        <v>162</v>
      </c>
      <c r="C17" s="2" t="s">
        <v>167</v>
      </c>
      <c r="D17" s="2" t="s">
        <v>340</v>
      </c>
      <c r="E17" s="22">
        <v>59894</v>
      </c>
      <c r="F17" s="22" t="str">
        <f t="shared" si="0"/>
        <v>59894</v>
      </c>
      <c r="G17" s="22">
        <v>59894</v>
      </c>
      <c r="H17" s="20">
        <v>42106</v>
      </c>
      <c r="I17" s="17">
        <v>2</v>
      </c>
      <c r="J17" s="2" t="s">
        <v>180</v>
      </c>
      <c r="K17" s="2" t="s">
        <v>194</v>
      </c>
    </row>
    <row r="18" spans="1:11" x14ac:dyDescent="0.35">
      <c r="A18" s="2" t="s">
        <v>24</v>
      </c>
      <c r="B18" s="2" t="s">
        <v>178</v>
      </c>
      <c r="C18" s="2" t="s">
        <v>169</v>
      </c>
      <c r="D18" s="2" t="s">
        <v>343</v>
      </c>
      <c r="E18" s="22">
        <v>92443</v>
      </c>
      <c r="F18" s="22" t="str">
        <f t="shared" si="0"/>
        <v>92443</v>
      </c>
      <c r="G18" s="22">
        <v>92443</v>
      </c>
      <c r="H18" s="20">
        <v>42113</v>
      </c>
      <c r="I18" s="17">
        <v>3</v>
      </c>
      <c r="J18" s="2" t="s">
        <v>179</v>
      </c>
      <c r="K18" s="2" t="s">
        <v>195</v>
      </c>
    </row>
    <row r="19" spans="1:11" x14ac:dyDescent="0.35">
      <c r="A19" s="2" t="s">
        <v>25</v>
      </c>
      <c r="B19" s="2" t="s">
        <v>165</v>
      </c>
      <c r="C19" s="2" t="s">
        <v>338</v>
      </c>
      <c r="D19" s="2" t="s">
        <v>341</v>
      </c>
      <c r="E19" s="22">
        <v>90271</v>
      </c>
      <c r="F19" s="22" t="str">
        <f t="shared" si="0"/>
        <v>90271</v>
      </c>
      <c r="G19" s="22">
        <v>90271</v>
      </c>
      <c r="H19" s="20">
        <v>42120</v>
      </c>
      <c r="I19" s="17">
        <v>3</v>
      </c>
      <c r="J19" s="2" t="s">
        <v>178</v>
      </c>
      <c r="K19" s="2" t="s">
        <v>196</v>
      </c>
    </row>
    <row r="20" spans="1:11" x14ac:dyDescent="0.35">
      <c r="A20" s="2" t="s">
        <v>26</v>
      </c>
      <c r="B20" s="2" t="s">
        <v>162</v>
      </c>
      <c r="C20" s="2" t="s">
        <v>335</v>
      </c>
      <c r="D20" s="2" t="s">
        <v>345</v>
      </c>
      <c r="E20" s="22">
        <v>41341</v>
      </c>
      <c r="F20" s="22" t="str">
        <f t="shared" si="0"/>
        <v>41341</v>
      </c>
      <c r="G20" s="22">
        <v>41341</v>
      </c>
      <c r="H20" s="20">
        <v>42127</v>
      </c>
      <c r="I20" s="17">
        <v>1</v>
      </c>
      <c r="J20" s="2" t="s">
        <v>179</v>
      </c>
      <c r="K20" s="2" t="s">
        <v>197</v>
      </c>
    </row>
    <row r="21" spans="1:11" x14ac:dyDescent="0.35">
      <c r="A21" s="2" t="s">
        <v>27</v>
      </c>
      <c r="B21" s="2" t="s">
        <v>160</v>
      </c>
      <c r="C21" s="2" t="s">
        <v>335</v>
      </c>
      <c r="D21" s="2" t="s">
        <v>344</v>
      </c>
      <c r="E21" s="22">
        <v>73602</v>
      </c>
      <c r="F21" s="22" t="str">
        <f t="shared" si="0"/>
        <v>73602</v>
      </c>
      <c r="G21" s="22">
        <v>73602</v>
      </c>
      <c r="H21" s="20">
        <v>42134</v>
      </c>
      <c r="I21" s="17">
        <v>3</v>
      </c>
      <c r="J21" s="2" t="s">
        <v>178</v>
      </c>
      <c r="K21" s="2" t="s">
        <v>198</v>
      </c>
    </row>
    <row r="22" spans="1:11" x14ac:dyDescent="0.35">
      <c r="A22" s="2" t="s">
        <v>28</v>
      </c>
      <c r="B22" s="2" t="s">
        <v>159</v>
      </c>
      <c r="C22" s="2" t="s">
        <v>338</v>
      </c>
      <c r="D22" s="2" t="s">
        <v>343</v>
      </c>
      <c r="E22" s="22">
        <v>67531</v>
      </c>
      <c r="F22" s="22" t="str">
        <f t="shared" si="0"/>
        <v>67531</v>
      </c>
      <c r="G22" s="22">
        <v>67531</v>
      </c>
      <c r="H22" s="20">
        <v>42141</v>
      </c>
      <c r="I22" s="17">
        <v>5</v>
      </c>
      <c r="J22" s="2" t="s">
        <v>181</v>
      </c>
      <c r="K22" s="2" t="s">
        <v>199</v>
      </c>
    </row>
    <row r="23" spans="1:11" x14ac:dyDescent="0.35">
      <c r="A23" s="2" t="s">
        <v>29</v>
      </c>
      <c r="B23" s="2" t="s">
        <v>162</v>
      </c>
      <c r="C23" s="2" t="s">
        <v>167</v>
      </c>
      <c r="D23" s="2" t="s">
        <v>342</v>
      </c>
      <c r="E23" s="22" t="s">
        <v>177</v>
      </c>
      <c r="F23" s="22" t="str">
        <f t="shared" si="0"/>
        <v>0</v>
      </c>
      <c r="G23" s="22">
        <v>67835</v>
      </c>
      <c r="H23" s="20">
        <v>42148</v>
      </c>
      <c r="I23" s="17">
        <v>2</v>
      </c>
      <c r="J23" s="2" t="s">
        <v>179</v>
      </c>
      <c r="K23" s="2" t="s">
        <v>200</v>
      </c>
    </row>
    <row r="24" spans="1:11" x14ac:dyDescent="0.35">
      <c r="A24" s="2" t="s">
        <v>30</v>
      </c>
      <c r="B24" s="2" t="s">
        <v>162</v>
      </c>
      <c r="C24" s="2" t="s">
        <v>167</v>
      </c>
      <c r="D24" s="2" t="s">
        <v>340</v>
      </c>
      <c r="E24" s="22">
        <v>98922</v>
      </c>
      <c r="F24" s="22" t="str">
        <f t="shared" si="0"/>
        <v>98922</v>
      </c>
      <c r="G24" s="22">
        <v>98922</v>
      </c>
      <c r="H24" s="20">
        <v>42155</v>
      </c>
      <c r="I24" s="17">
        <v>4</v>
      </c>
      <c r="J24" s="2" t="s">
        <v>178</v>
      </c>
      <c r="K24" s="2" t="s">
        <v>201</v>
      </c>
    </row>
    <row r="25" spans="1:11" x14ac:dyDescent="0.35">
      <c r="A25" s="2" t="s">
        <v>31</v>
      </c>
      <c r="B25" s="2" t="s">
        <v>159</v>
      </c>
      <c r="C25" s="2" t="s">
        <v>335</v>
      </c>
      <c r="D25" s="2" t="s">
        <v>343</v>
      </c>
      <c r="E25" s="22">
        <v>38333</v>
      </c>
      <c r="F25" s="22" t="str">
        <f t="shared" si="0"/>
        <v>38333</v>
      </c>
      <c r="G25" s="22">
        <v>38333</v>
      </c>
      <c r="H25" s="20">
        <v>42162</v>
      </c>
      <c r="I25" s="17">
        <v>5</v>
      </c>
      <c r="J25" s="2" t="s">
        <v>178</v>
      </c>
      <c r="K25" s="2" t="s">
        <v>202</v>
      </c>
    </row>
    <row r="26" spans="1:11" x14ac:dyDescent="0.35">
      <c r="A26" s="2" t="s">
        <v>32</v>
      </c>
      <c r="B26" s="2" t="s">
        <v>160</v>
      </c>
      <c r="C26" s="2" t="s">
        <v>337</v>
      </c>
      <c r="D26" s="2" t="s">
        <v>344</v>
      </c>
      <c r="E26" s="22">
        <v>36515</v>
      </c>
      <c r="F26" s="22" t="str">
        <f t="shared" si="0"/>
        <v>36515</v>
      </c>
      <c r="G26" s="22">
        <v>36515</v>
      </c>
      <c r="H26" s="20">
        <v>42169</v>
      </c>
      <c r="I26" s="17">
        <v>3</v>
      </c>
      <c r="J26" s="2" t="s">
        <v>180</v>
      </c>
      <c r="K26" s="2" t="s">
        <v>203</v>
      </c>
    </row>
    <row r="27" spans="1:11" x14ac:dyDescent="0.35">
      <c r="A27" s="2" t="s">
        <v>33</v>
      </c>
      <c r="B27" s="2" t="s">
        <v>163</v>
      </c>
      <c r="C27" s="2" t="s">
        <v>335</v>
      </c>
      <c r="D27" s="2" t="s">
        <v>340</v>
      </c>
      <c r="E27" s="22">
        <v>91005</v>
      </c>
      <c r="F27" s="22" t="str">
        <f t="shared" si="0"/>
        <v>91005</v>
      </c>
      <c r="G27" s="22">
        <v>91005</v>
      </c>
      <c r="H27" s="20">
        <v>42176</v>
      </c>
      <c r="I27" s="17">
        <v>1</v>
      </c>
      <c r="J27" s="2" t="s">
        <v>179</v>
      </c>
      <c r="K27" s="2" t="s">
        <v>204</v>
      </c>
    </row>
    <row r="28" spans="1:11" x14ac:dyDescent="0.35">
      <c r="A28" s="2" t="s">
        <v>34</v>
      </c>
      <c r="B28" s="2" t="s">
        <v>164</v>
      </c>
      <c r="C28" s="2" t="s">
        <v>338</v>
      </c>
      <c r="D28" s="2" t="s">
        <v>340</v>
      </c>
      <c r="E28" s="22">
        <v>52272</v>
      </c>
      <c r="F28" s="22" t="str">
        <f t="shared" si="0"/>
        <v>52272</v>
      </c>
      <c r="G28" s="22">
        <v>52272</v>
      </c>
      <c r="H28" s="20">
        <v>42183</v>
      </c>
      <c r="I28" s="17">
        <v>3</v>
      </c>
      <c r="J28" s="2" t="s">
        <v>178</v>
      </c>
      <c r="K28" s="2" t="s">
        <v>205</v>
      </c>
    </row>
    <row r="29" spans="1:11" x14ac:dyDescent="0.35">
      <c r="A29" s="2" t="s">
        <v>35</v>
      </c>
      <c r="B29" s="2" t="s">
        <v>159</v>
      </c>
      <c r="C29" s="2" t="s">
        <v>336</v>
      </c>
      <c r="D29" s="2" t="s">
        <v>341</v>
      </c>
      <c r="E29" s="22">
        <v>76518</v>
      </c>
      <c r="F29" s="22" t="str">
        <f t="shared" si="0"/>
        <v>76518</v>
      </c>
      <c r="G29" s="22">
        <v>76518</v>
      </c>
      <c r="H29" s="20">
        <v>42190</v>
      </c>
      <c r="I29" s="17">
        <v>2</v>
      </c>
      <c r="J29" s="2" t="s">
        <v>181</v>
      </c>
      <c r="K29" s="2" t="s">
        <v>206</v>
      </c>
    </row>
    <row r="30" spans="1:11" x14ac:dyDescent="0.35">
      <c r="A30" s="2" t="s">
        <v>36</v>
      </c>
      <c r="B30" s="2" t="s">
        <v>160</v>
      </c>
      <c r="C30" s="2" t="s">
        <v>169</v>
      </c>
      <c r="D30" s="2" t="s">
        <v>344</v>
      </c>
      <c r="E30" s="22">
        <v>41448</v>
      </c>
      <c r="F30" s="22" t="str">
        <f t="shared" si="0"/>
        <v>41448</v>
      </c>
      <c r="G30" s="22">
        <v>41448</v>
      </c>
      <c r="H30" s="20">
        <v>42197</v>
      </c>
      <c r="I30" s="17">
        <v>3</v>
      </c>
      <c r="J30" s="2" t="s">
        <v>179</v>
      </c>
      <c r="K30" s="2" t="s">
        <v>207</v>
      </c>
    </row>
    <row r="31" spans="1:11" x14ac:dyDescent="0.35">
      <c r="A31" s="2" t="s">
        <v>37</v>
      </c>
      <c r="B31" s="2" t="s">
        <v>161</v>
      </c>
      <c r="C31" s="2" t="s">
        <v>167</v>
      </c>
      <c r="D31" s="2" t="s">
        <v>344</v>
      </c>
      <c r="E31" s="22">
        <v>49282</v>
      </c>
      <c r="F31" s="22" t="str">
        <f t="shared" si="0"/>
        <v>49282</v>
      </c>
      <c r="G31" s="22">
        <v>49282</v>
      </c>
      <c r="H31" s="20">
        <v>42204</v>
      </c>
      <c r="I31" s="17">
        <v>2</v>
      </c>
      <c r="J31" s="2" t="s">
        <v>181</v>
      </c>
      <c r="K31" s="2" t="s">
        <v>208</v>
      </c>
    </row>
    <row r="32" spans="1:11" x14ac:dyDescent="0.35">
      <c r="A32" s="2" t="s">
        <v>38</v>
      </c>
      <c r="B32" s="2" t="s">
        <v>165</v>
      </c>
      <c r="C32" s="2" t="s">
        <v>337</v>
      </c>
      <c r="D32" s="2" t="s">
        <v>344</v>
      </c>
      <c r="E32" s="22">
        <v>92959</v>
      </c>
      <c r="F32" s="22" t="str">
        <f t="shared" si="0"/>
        <v>92959</v>
      </c>
      <c r="G32" s="22">
        <v>92959</v>
      </c>
      <c r="H32" s="20">
        <v>42211</v>
      </c>
      <c r="I32" s="17">
        <v>5</v>
      </c>
      <c r="J32" s="2" t="s">
        <v>178</v>
      </c>
      <c r="K32" s="2" t="s">
        <v>209</v>
      </c>
    </row>
    <row r="33" spans="1:11" x14ac:dyDescent="0.35">
      <c r="A33" s="2" t="s">
        <v>39</v>
      </c>
      <c r="B33" s="2" t="s">
        <v>178</v>
      </c>
      <c r="C33" s="2" t="s">
        <v>337</v>
      </c>
      <c r="D33" s="2" t="s">
        <v>340</v>
      </c>
      <c r="E33" s="22">
        <v>92259</v>
      </c>
      <c r="F33" s="22" t="str">
        <f t="shared" si="0"/>
        <v>92259</v>
      </c>
      <c r="G33" s="22">
        <v>92259</v>
      </c>
      <c r="H33" s="20" t="s">
        <v>178</v>
      </c>
      <c r="I33" s="17">
        <v>1</v>
      </c>
      <c r="J33" s="2" t="s">
        <v>178</v>
      </c>
      <c r="K33" s="2" t="s">
        <v>210</v>
      </c>
    </row>
    <row r="34" spans="1:11" x14ac:dyDescent="0.35">
      <c r="A34" s="2" t="s">
        <v>40</v>
      </c>
      <c r="B34" s="2" t="s">
        <v>159</v>
      </c>
      <c r="C34" s="2" t="s">
        <v>167</v>
      </c>
      <c r="D34" s="2" t="s">
        <v>341</v>
      </c>
      <c r="E34" s="22">
        <v>92299</v>
      </c>
      <c r="F34" s="22" t="str">
        <f t="shared" si="0"/>
        <v>92299</v>
      </c>
      <c r="G34" s="22">
        <v>92299</v>
      </c>
      <c r="H34" s="20">
        <v>42225</v>
      </c>
      <c r="I34" s="17">
        <v>3</v>
      </c>
      <c r="J34" s="2" t="s">
        <v>180</v>
      </c>
      <c r="K34" s="2" t="s">
        <v>211</v>
      </c>
    </row>
    <row r="35" spans="1:11" x14ac:dyDescent="0.35">
      <c r="A35" s="2" t="s">
        <v>41</v>
      </c>
      <c r="B35" s="2" t="s">
        <v>163</v>
      </c>
      <c r="C35" s="2" t="s">
        <v>167</v>
      </c>
      <c r="D35" s="2" t="s">
        <v>340</v>
      </c>
      <c r="E35" s="22">
        <v>95586</v>
      </c>
      <c r="F35" s="22" t="str">
        <f t="shared" si="0"/>
        <v>95586</v>
      </c>
      <c r="G35" s="22">
        <v>95586</v>
      </c>
      <c r="H35" s="20">
        <v>42232</v>
      </c>
      <c r="I35" s="17">
        <v>3</v>
      </c>
      <c r="J35" s="2" t="s">
        <v>179</v>
      </c>
      <c r="K35" s="2" t="s">
        <v>212</v>
      </c>
    </row>
    <row r="36" spans="1:11" x14ac:dyDescent="0.35">
      <c r="A36" s="2" t="s">
        <v>42</v>
      </c>
      <c r="B36" s="2" t="s">
        <v>164</v>
      </c>
      <c r="C36" s="2" t="s">
        <v>338</v>
      </c>
      <c r="D36" s="2" t="s">
        <v>342</v>
      </c>
      <c r="E36" s="22">
        <v>95367</v>
      </c>
      <c r="F36" s="22" t="str">
        <f t="shared" si="0"/>
        <v>95367</v>
      </c>
      <c r="G36" s="22">
        <v>95367</v>
      </c>
      <c r="H36" s="20">
        <v>42239</v>
      </c>
      <c r="I36" s="17">
        <v>3</v>
      </c>
      <c r="J36" s="2" t="s">
        <v>180</v>
      </c>
      <c r="K36" s="2" t="s">
        <v>213</v>
      </c>
    </row>
    <row r="37" spans="1:11" x14ac:dyDescent="0.35">
      <c r="A37" s="2" t="s">
        <v>43</v>
      </c>
      <c r="B37" s="2" t="s">
        <v>161</v>
      </c>
      <c r="C37" s="2" t="s">
        <v>336</v>
      </c>
      <c r="D37" s="2" t="s">
        <v>345</v>
      </c>
      <c r="E37" s="22">
        <v>79549</v>
      </c>
      <c r="F37" s="22" t="str">
        <f t="shared" si="0"/>
        <v>79549</v>
      </c>
      <c r="G37" s="22">
        <v>79549</v>
      </c>
      <c r="H37" s="20">
        <v>42246</v>
      </c>
      <c r="I37" s="17">
        <v>3</v>
      </c>
      <c r="J37" s="2" t="s">
        <v>178</v>
      </c>
      <c r="K37" s="2" t="s">
        <v>214</v>
      </c>
    </row>
    <row r="38" spans="1:11" x14ac:dyDescent="0.35">
      <c r="A38" s="2" t="s">
        <v>44</v>
      </c>
      <c r="B38" s="2" t="s">
        <v>160</v>
      </c>
      <c r="C38" s="2" t="s">
        <v>338</v>
      </c>
      <c r="D38" s="2" t="s">
        <v>344</v>
      </c>
      <c r="E38" s="22">
        <v>54463</v>
      </c>
      <c r="F38" s="22" t="str">
        <f t="shared" si="0"/>
        <v>54463</v>
      </c>
      <c r="G38" s="22">
        <v>54463</v>
      </c>
      <c r="H38" s="20">
        <v>42253</v>
      </c>
      <c r="I38" s="17">
        <v>4</v>
      </c>
      <c r="J38" s="2" t="s">
        <v>180</v>
      </c>
      <c r="K38" s="2" t="s">
        <v>182</v>
      </c>
    </row>
    <row r="39" spans="1:11" x14ac:dyDescent="0.35">
      <c r="A39" s="2" t="s">
        <v>45</v>
      </c>
      <c r="B39" s="2" t="s">
        <v>160</v>
      </c>
      <c r="C39" s="2" t="s">
        <v>169</v>
      </c>
      <c r="D39" s="2" t="s">
        <v>342</v>
      </c>
      <c r="E39" s="22">
        <v>89781</v>
      </c>
      <c r="F39" s="22" t="str">
        <f t="shared" si="0"/>
        <v>89781</v>
      </c>
      <c r="G39" s="22">
        <v>89781</v>
      </c>
      <c r="H39" s="20">
        <v>42260</v>
      </c>
      <c r="I39" s="17">
        <v>3</v>
      </c>
      <c r="J39" s="2" t="s">
        <v>181</v>
      </c>
      <c r="K39" s="2" t="s">
        <v>215</v>
      </c>
    </row>
    <row r="40" spans="1:11" x14ac:dyDescent="0.35">
      <c r="A40" s="2" t="s">
        <v>46</v>
      </c>
      <c r="B40" s="2" t="s">
        <v>160</v>
      </c>
      <c r="C40" s="2" t="s">
        <v>167</v>
      </c>
      <c r="D40" s="2" t="s">
        <v>340</v>
      </c>
      <c r="E40" s="22">
        <v>64796</v>
      </c>
      <c r="F40" s="22" t="str">
        <f t="shared" si="0"/>
        <v>64796</v>
      </c>
      <c r="G40" s="22">
        <v>64796</v>
      </c>
      <c r="H40" s="20">
        <v>42267</v>
      </c>
      <c r="I40" s="17">
        <v>3</v>
      </c>
      <c r="J40" s="2" t="s">
        <v>179</v>
      </c>
      <c r="K40" s="2" t="s">
        <v>216</v>
      </c>
    </row>
    <row r="41" spans="1:11" x14ac:dyDescent="0.35">
      <c r="A41" s="2" t="s">
        <v>47</v>
      </c>
      <c r="B41" s="2" t="s">
        <v>161</v>
      </c>
      <c r="C41" s="2" t="s">
        <v>337</v>
      </c>
      <c r="D41" s="2" t="s">
        <v>344</v>
      </c>
      <c r="E41" s="22">
        <v>52093</v>
      </c>
      <c r="F41" s="22" t="str">
        <f t="shared" si="0"/>
        <v>52093</v>
      </c>
      <c r="G41" s="22">
        <v>52093</v>
      </c>
      <c r="H41" s="20">
        <v>42274</v>
      </c>
      <c r="I41" s="17">
        <v>5</v>
      </c>
      <c r="J41" s="2" t="s">
        <v>178</v>
      </c>
      <c r="K41" s="2" t="s">
        <v>217</v>
      </c>
    </row>
    <row r="42" spans="1:11" x14ac:dyDescent="0.35">
      <c r="A42" s="2" t="s">
        <v>48</v>
      </c>
      <c r="B42" s="2" t="s">
        <v>164</v>
      </c>
      <c r="C42" s="2" t="s">
        <v>167</v>
      </c>
      <c r="D42" s="2" t="s">
        <v>344</v>
      </c>
      <c r="E42" s="22">
        <v>48224</v>
      </c>
      <c r="F42" s="22" t="str">
        <f t="shared" si="0"/>
        <v>48224</v>
      </c>
      <c r="G42" s="22">
        <v>48224</v>
      </c>
      <c r="H42" s="20">
        <v>42281</v>
      </c>
      <c r="I42" s="17">
        <v>3</v>
      </c>
      <c r="J42" s="2" t="s">
        <v>178</v>
      </c>
      <c r="K42" s="2" t="s">
        <v>218</v>
      </c>
    </row>
    <row r="43" spans="1:11" x14ac:dyDescent="0.35">
      <c r="A43" s="2" t="s">
        <v>49</v>
      </c>
      <c r="B43" s="2" t="s">
        <v>165</v>
      </c>
      <c r="C43" s="2" t="s">
        <v>335</v>
      </c>
      <c r="D43" s="2" t="s">
        <v>344</v>
      </c>
      <c r="E43" s="22" t="s">
        <v>177</v>
      </c>
      <c r="F43" s="22" t="str">
        <f t="shared" si="0"/>
        <v>0</v>
      </c>
      <c r="G43" s="22">
        <v>65605</v>
      </c>
      <c r="H43" s="20" t="s">
        <v>178</v>
      </c>
      <c r="I43" s="17">
        <v>4</v>
      </c>
      <c r="J43" s="2" t="s">
        <v>181</v>
      </c>
      <c r="K43" s="2" t="s">
        <v>219</v>
      </c>
    </row>
    <row r="44" spans="1:11" x14ac:dyDescent="0.35">
      <c r="A44" s="2" t="s">
        <v>50</v>
      </c>
      <c r="B44" s="2" t="s">
        <v>160</v>
      </c>
      <c r="C44" s="2" t="s">
        <v>169</v>
      </c>
      <c r="D44" s="2" t="s">
        <v>341</v>
      </c>
      <c r="E44" s="22">
        <v>33956</v>
      </c>
      <c r="F44" s="22" t="str">
        <f t="shared" si="0"/>
        <v>33956</v>
      </c>
      <c r="G44" s="22">
        <v>33956</v>
      </c>
      <c r="H44" s="20">
        <v>42295</v>
      </c>
      <c r="I44" s="17">
        <v>3</v>
      </c>
      <c r="J44" s="2" t="s">
        <v>178</v>
      </c>
      <c r="K44" s="2" t="s">
        <v>220</v>
      </c>
    </row>
    <row r="45" spans="1:11" x14ac:dyDescent="0.35">
      <c r="A45" s="2" t="s">
        <v>51</v>
      </c>
      <c r="B45" s="2" t="s">
        <v>165</v>
      </c>
      <c r="C45" s="2" t="s">
        <v>338</v>
      </c>
      <c r="D45" s="2" t="s">
        <v>345</v>
      </c>
      <c r="E45" s="22">
        <v>64913</v>
      </c>
      <c r="F45" s="22" t="str">
        <f t="shared" si="0"/>
        <v>64913</v>
      </c>
      <c r="G45" s="22">
        <v>64913</v>
      </c>
      <c r="H45" s="20">
        <v>42302</v>
      </c>
      <c r="I45" s="17">
        <v>1</v>
      </c>
      <c r="J45" s="2" t="s">
        <v>181</v>
      </c>
      <c r="K45" s="2" t="s">
        <v>221</v>
      </c>
    </row>
    <row r="46" spans="1:11" x14ac:dyDescent="0.35">
      <c r="A46" s="2" t="s">
        <v>52</v>
      </c>
      <c r="B46" s="2" t="s">
        <v>160</v>
      </c>
      <c r="C46" s="2" t="s">
        <v>337</v>
      </c>
      <c r="D46" s="2" t="s">
        <v>345</v>
      </c>
      <c r="E46" s="22">
        <v>35326</v>
      </c>
      <c r="F46" s="22" t="str">
        <f t="shared" si="0"/>
        <v>35326</v>
      </c>
      <c r="G46" s="22">
        <v>35326</v>
      </c>
      <c r="H46" s="20">
        <v>42309</v>
      </c>
      <c r="I46" s="17">
        <v>3</v>
      </c>
      <c r="J46" s="2" t="s">
        <v>181</v>
      </c>
      <c r="K46" s="2" t="s">
        <v>222</v>
      </c>
    </row>
    <row r="47" spans="1:11" x14ac:dyDescent="0.35">
      <c r="A47" s="2" t="s">
        <v>53</v>
      </c>
      <c r="B47" s="2" t="s">
        <v>164</v>
      </c>
      <c r="C47" s="2" t="s">
        <v>335</v>
      </c>
      <c r="D47" s="2" t="s">
        <v>340</v>
      </c>
      <c r="E47" s="22">
        <v>81610</v>
      </c>
      <c r="F47" s="22" t="str">
        <f t="shared" si="0"/>
        <v>81610</v>
      </c>
      <c r="G47" s="22">
        <v>81610</v>
      </c>
      <c r="H47" s="20">
        <v>42316</v>
      </c>
      <c r="I47" s="17">
        <v>1</v>
      </c>
      <c r="J47" s="2" t="s">
        <v>178</v>
      </c>
      <c r="K47" s="2" t="s">
        <v>223</v>
      </c>
    </row>
    <row r="48" spans="1:11" x14ac:dyDescent="0.35">
      <c r="A48" s="2" t="s">
        <v>54</v>
      </c>
      <c r="B48" s="2" t="s">
        <v>178</v>
      </c>
      <c r="C48" s="2" t="s">
        <v>167</v>
      </c>
      <c r="D48" s="2" t="s">
        <v>340</v>
      </c>
      <c r="E48" s="22">
        <v>58962</v>
      </c>
      <c r="F48" s="22" t="str">
        <f t="shared" si="0"/>
        <v>58962</v>
      </c>
      <c r="G48" s="22">
        <v>58962</v>
      </c>
      <c r="H48" s="20">
        <v>42323</v>
      </c>
      <c r="I48" s="17">
        <v>3</v>
      </c>
      <c r="J48" s="2" t="s">
        <v>179</v>
      </c>
      <c r="K48" s="2" t="s">
        <v>183</v>
      </c>
    </row>
    <row r="49" spans="1:11" x14ac:dyDescent="0.35">
      <c r="A49" s="2" t="s">
        <v>55</v>
      </c>
      <c r="B49" s="2" t="s">
        <v>164</v>
      </c>
      <c r="C49" s="2" t="s">
        <v>169</v>
      </c>
      <c r="D49" s="2" t="s">
        <v>341</v>
      </c>
      <c r="E49" s="22">
        <v>92701</v>
      </c>
      <c r="F49" s="22" t="str">
        <f t="shared" si="0"/>
        <v>92701</v>
      </c>
      <c r="G49" s="22">
        <v>92701</v>
      </c>
      <c r="H49" s="20">
        <v>42330</v>
      </c>
      <c r="I49" s="17">
        <v>3</v>
      </c>
      <c r="J49" s="2" t="s">
        <v>179</v>
      </c>
      <c r="K49" s="2" t="s">
        <v>224</v>
      </c>
    </row>
    <row r="50" spans="1:11" x14ac:dyDescent="0.35">
      <c r="A50" s="2" t="s">
        <v>56</v>
      </c>
      <c r="B50" s="2" t="s">
        <v>164</v>
      </c>
      <c r="C50" s="2" t="s">
        <v>167</v>
      </c>
      <c r="D50" s="2" t="s">
        <v>343</v>
      </c>
      <c r="E50" s="22">
        <v>58245</v>
      </c>
      <c r="F50" s="22" t="str">
        <f t="shared" si="0"/>
        <v>58245</v>
      </c>
      <c r="G50" s="22">
        <v>58245</v>
      </c>
      <c r="H50" s="20">
        <v>42337</v>
      </c>
      <c r="I50" s="17">
        <v>4</v>
      </c>
      <c r="J50" s="2" t="s">
        <v>178</v>
      </c>
      <c r="K50" s="2" t="s">
        <v>225</v>
      </c>
    </row>
    <row r="51" spans="1:11" x14ac:dyDescent="0.35">
      <c r="A51" s="2" t="s">
        <v>57</v>
      </c>
      <c r="B51" s="2" t="s">
        <v>161</v>
      </c>
      <c r="C51" s="2" t="s">
        <v>335</v>
      </c>
      <c r="D51" s="2" t="s">
        <v>340</v>
      </c>
      <c r="E51" s="22">
        <v>66513</v>
      </c>
      <c r="F51" s="22" t="str">
        <f t="shared" si="0"/>
        <v>66513</v>
      </c>
      <c r="G51" s="22">
        <v>66513</v>
      </c>
      <c r="H51" s="20">
        <v>42344</v>
      </c>
      <c r="I51" s="17">
        <v>2</v>
      </c>
      <c r="J51" s="2" t="s">
        <v>179</v>
      </c>
      <c r="K51" s="2" t="s">
        <v>187</v>
      </c>
    </row>
    <row r="52" spans="1:11" x14ac:dyDescent="0.35">
      <c r="A52" s="2" t="s">
        <v>58</v>
      </c>
      <c r="B52" s="2" t="s">
        <v>159</v>
      </c>
      <c r="C52" s="2" t="s">
        <v>167</v>
      </c>
      <c r="D52" s="2" t="s">
        <v>341</v>
      </c>
      <c r="E52" s="22">
        <v>78720</v>
      </c>
      <c r="F52" s="22" t="str">
        <f t="shared" si="0"/>
        <v>78720</v>
      </c>
      <c r="G52" s="22">
        <v>78720</v>
      </c>
      <c r="H52" s="20">
        <v>42351</v>
      </c>
      <c r="I52" s="17">
        <v>5</v>
      </c>
      <c r="J52" s="2" t="s">
        <v>181</v>
      </c>
      <c r="K52" s="2" t="s">
        <v>219</v>
      </c>
    </row>
    <row r="53" spans="1:11" x14ac:dyDescent="0.35">
      <c r="A53" s="2" t="s">
        <v>59</v>
      </c>
      <c r="B53" s="2" t="s">
        <v>164</v>
      </c>
      <c r="C53" s="2" t="s">
        <v>338</v>
      </c>
      <c r="D53" s="2" t="s">
        <v>340</v>
      </c>
      <c r="E53" s="22">
        <v>30686</v>
      </c>
      <c r="F53" s="22" t="str">
        <f t="shared" si="0"/>
        <v>30686</v>
      </c>
      <c r="G53" s="22">
        <v>30686</v>
      </c>
      <c r="H53" s="20" t="s">
        <v>178</v>
      </c>
      <c r="I53" s="17">
        <v>2</v>
      </c>
      <c r="J53" s="2" t="s">
        <v>181</v>
      </c>
      <c r="K53" s="2" t="s">
        <v>226</v>
      </c>
    </row>
    <row r="54" spans="1:11" x14ac:dyDescent="0.35">
      <c r="A54" s="2" t="s">
        <v>60</v>
      </c>
      <c r="B54" s="2" t="s">
        <v>163</v>
      </c>
      <c r="C54" s="2" t="s">
        <v>336</v>
      </c>
      <c r="D54" s="2" t="s">
        <v>343</v>
      </c>
      <c r="E54" s="22">
        <v>39423</v>
      </c>
      <c r="F54" s="22" t="str">
        <f t="shared" si="0"/>
        <v>39423</v>
      </c>
      <c r="G54" s="22">
        <v>39423</v>
      </c>
      <c r="H54" s="20">
        <v>42365</v>
      </c>
      <c r="I54" s="17">
        <v>5</v>
      </c>
      <c r="J54" s="2" t="s">
        <v>178</v>
      </c>
      <c r="K54" s="2" t="s">
        <v>227</v>
      </c>
    </row>
    <row r="55" spans="1:11" x14ac:dyDescent="0.35">
      <c r="A55" s="2" t="s">
        <v>61</v>
      </c>
      <c r="B55" s="2" t="s">
        <v>159</v>
      </c>
      <c r="C55" s="2" t="s">
        <v>337</v>
      </c>
      <c r="D55" s="2" t="s">
        <v>340</v>
      </c>
      <c r="E55" s="22">
        <v>30280</v>
      </c>
      <c r="F55" s="22" t="str">
        <f t="shared" si="0"/>
        <v>30280</v>
      </c>
      <c r="G55" s="22">
        <v>30280</v>
      </c>
      <c r="H55" s="20">
        <v>42372</v>
      </c>
      <c r="I55" s="17">
        <v>1</v>
      </c>
      <c r="J55" s="2" t="s">
        <v>178</v>
      </c>
      <c r="K55" s="2" t="s">
        <v>228</v>
      </c>
    </row>
    <row r="56" spans="1:11" x14ac:dyDescent="0.35">
      <c r="A56" s="2" t="s">
        <v>62</v>
      </c>
      <c r="B56" s="2" t="s">
        <v>159</v>
      </c>
      <c r="C56" s="2" t="s">
        <v>335</v>
      </c>
      <c r="D56" s="2" t="s">
        <v>344</v>
      </c>
      <c r="E56" s="22">
        <v>33352</v>
      </c>
      <c r="F56" s="22" t="str">
        <f t="shared" si="0"/>
        <v>33352</v>
      </c>
      <c r="G56" s="22">
        <v>33352</v>
      </c>
      <c r="H56" s="20">
        <v>42379</v>
      </c>
      <c r="I56" s="17">
        <v>3</v>
      </c>
      <c r="J56" s="2" t="s">
        <v>181</v>
      </c>
      <c r="K56" s="2" t="s">
        <v>200</v>
      </c>
    </row>
    <row r="57" spans="1:11" x14ac:dyDescent="0.35">
      <c r="A57" s="2" t="s">
        <v>63</v>
      </c>
      <c r="B57" s="2" t="s">
        <v>165</v>
      </c>
      <c r="C57" s="2" t="s">
        <v>337</v>
      </c>
      <c r="D57" s="2" t="s">
        <v>344</v>
      </c>
      <c r="E57" s="22">
        <v>75633</v>
      </c>
      <c r="F57" s="22" t="str">
        <f t="shared" si="0"/>
        <v>75633</v>
      </c>
      <c r="G57" s="22">
        <v>75633</v>
      </c>
      <c r="H57" s="20">
        <v>42386</v>
      </c>
      <c r="I57" s="17">
        <v>5</v>
      </c>
      <c r="J57" s="2" t="s">
        <v>179</v>
      </c>
      <c r="K57" s="2" t="s">
        <v>229</v>
      </c>
    </row>
    <row r="58" spans="1:11" x14ac:dyDescent="0.35">
      <c r="A58" s="2" t="s">
        <v>64</v>
      </c>
      <c r="B58" s="2" t="s">
        <v>164</v>
      </c>
      <c r="C58" s="2" t="s">
        <v>338</v>
      </c>
      <c r="D58" s="2" t="s">
        <v>342</v>
      </c>
      <c r="E58" s="22">
        <v>74815</v>
      </c>
      <c r="F58" s="22" t="str">
        <f t="shared" si="0"/>
        <v>74815</v>
      </c>
      <c r="G58" s="22">
        <v>74815</v>
      </c>
      <c r="H58" s="20">
        <v>42393</v>
      </c>
      <c r="I58" s="17">
        <v>5</v>
      </c>
      <c r="J58" s="2" t="s">
        <v>181</v>
      </c>
      <c r="K58" s="2" t="s">
        <v>230</v>
      </c>
    </row>
    <row r="59" spans="1:11" x14ac:dyDescent="0.35">
      <c r="A59" s="2" t="s">
        <v>65</v>
      </c>
      <c r="B59" s="2" t="s">
        <v>161</v>
      </c>
      <c r="C59" s="2" t="s">
        <v>336</v>
      </c>
      <c r="D59" s="2" t="s">
        <v>345</v>
      </c>
      <c r="E59" s="22">
        <v>60011</v>
      </c>
      <c r="F59" s="22" t="str">
        <f t="shared" si="0"/>
        <v>60011</v>
      </c>
      <c r="G59" s="22">
        <v>60011</v>
      </c>
      <c r="H59" s="20">
        <v>42400</v>
      </c>
      <c r="I59" s="17">
        <v>1</v>
      </c>
      <c r="J59" s="2" t="s">
        <v>180</v>
      </c>
      <c r="K59" s="2" t="s">
        <v>231</v>
      </c>
    </row>
    <row r="60" spans="1:11" x14ac:dyDescent="0.35">
      <c r="A60" s="2" t="s">
        <v>66</v>
      </c>
      <c r="B60" s="2" t="s">
        <v>159</v>
      </c>
      <c r="C60" s="2" t="s">
        <v>338</v>
      </c>
      <c r="D60" s="2" t="s">
        <v>343</v>
      </c>
      <c r="E60" s="22">
        <v>96949</v>
      </c>
      <c r="F60" s="22" t="str">
        <f t="shared" si="0"/>
        <v>96949</v>
      </c>
      <c r="G60" s="22">
        <v>96949</v>
      </c>
      <c r="H60" s="20">
        <v>42407</v>
      </c>
      <c r="I60" s="17">
        <v>3</v>
      </c>
      <c r="J60" s="2" t="s">
        <v>178</v>
      </c>
      <c r="K60" s="2" t="s">
        <v>207</v>
      </c>
    </row>
    <row r="61" spans="1:11" x14ac:dyDescent="0.35">
      <c r="A61" s="2" t="s">
        <v>67</v>
      </c>
      <c r="B61" s="2" t="s">
        <v>163</v>
      </c>
      <c r="C61" s="2" t="s">
        <v>337</v>
      </c>
      <c r="D61" s="2" t="s">
        <v>340</v>
      </c>
      <c r="E61" s="22">
        <v>84924</v>
      </c>
      <c r="F61" s="22" t="str">
        <f t="shared" si="0"/>
        <v>84924</v>
      </c>
      <c r="G61" s="22">
        <v>84924</v>
      </c>
      <c r="H61" s="20">
        <v>42414</v>
      </c>
      <c r="I61" s="17">
        <v>5</v>
      </c>
      <c r="J61" s="2" t="s">
        <v>180</v>
      </c>
      <c r="K61" s="2" t="s">
        <v>232</v>
      </c>
    </row>
    <row r="62" spans="1:11" x14ac:dyDescent="0.35">
      <c r="A62" s="2" t="s">
        <v>68</v>
      </c>
      <c r="B62" s="2" t="s">
        <v>163</v>
      </c>
      <c r="C62" s="2" t="s">
        <v>335</v>
      </c>
      <c r="D62" s="2" t="s">
        <v>342</v>
      </c>
      <c r="E62" s="22">
        <v>82033</v>
      </c>
      <c r="F62" s="22" t="str">
        <f t="shared" si="0"/>
        <v>82033</v>
      </c>
      <c r="G62" s="22">
        <v>82033</v>
      </c>
      <c r="H62" s="20">
        <v>42421</v>
      </c>
      <c r="I62" s="17">
        <v>1</v>
      </c>
      <c r="J62" s="2" t="s">
        <v>178</v>
      </c>
      <c r="K62" s="2" t="s">
        <v>223</v>
      </c>
    </row>
    <row r="63" spans="1:11" x14ac:dyDescent="0.35">
      <c r="A63" s="2" t="s">
        <v>69</v>
      </c>
      <c r="B63" s="2" t="s">
        <v>178</v>
      </c>
      <c r="C63" s="2" t="s">
        <v>337</v>
      </c>
      <c r="D63" s="2" t="s">
        <v>341</v>
      </c>
      <c r="E63" s="22" t="s">
        <v>177</v>
      </c>
      <c r="F63" s="22" t="str">
        <f t="shared" si="0"/>
        <v>0</v>
      </c>
      <c r="G63" s="22">
        <v>63687</v>
      </c>
      <c r="H63" s="20" t="s">
        <v>178</v>
      </c>
      <c r="I63" s="17">
        <v>5</v>
      </c>
      <c r="J63" s="2" t="s">
        <v>178</v>
      </c>
      <c r="K63" s="2" t="s">
        <v>233</v>
      </c>
    </row>
    <row r="64" spans="1:11" x14ac:dyDescent="0.35">
      <c r="A64" s="2" t="s">
        <v>70</v>
      </c>
      <c r="B64" s="2" t="s">
        <v>159</v>
      </c>
      <c r="C64" s="2" t="s">
        <v>338</v>
      </c>
      <c r="D64" s="2" t="s">
        <v>345</v>
      </c>
      <c r="E64" s="22">
        <v>31499</v>
      </c>
      <c r="F64" s="22" t="str">
        <f t="shared" si="0"/>
        <v>31499</v>
      </c>
      <c r="G64" s="22">
        <v>31499</v>
      </c>
      <c r="H64" s="20">
        <v>42435</v>
      </c>
      <c r="I64" s="17">
        <v>2</v>
      </c>
      <c r="J64" s="2" t="s">
        <v>178</v>
      </c>
      <c r="K64" s="2" t="s">
        <v>215</v>
      </c>
    </row>
    <row r="65" spans="1:11" x14ac:dyDescent="0.35">
      <c r="A65" s="2" t="s">
        <v>71</v>
      </c>
      <c r="B65" s="2" t="s">
        <v>164</v>
      </c>
      <c r="C65" s="2" t="s">
        <v>169</v>
      </c>
      <c r="D65" s="2" t="s">
        <v>344</v>
      </c>
      <c r="E65" s="22">
        <v>97981</v>
      </c>
      <c r="F65" s="22" t="str">
        <f t="shared" si="0"/>
        <v>97981</v>
      </c>
      <c r="G65" s="22">
        <v>97981</v>
      </c>
      <c r="H65" s="20">
        <v>42442</v>
      </c>
      <c r="I65" s="17">
        <v>5</v>
      </c>
      <c r="J65" s="2" t="s">
        <v>181</v>
      </c>
      <c r="K65" s="2" t="s">
        <v>234</v>
      </c>
    </row>
    <row r="66" spans="1:11" x14ac:dyDescent="0.35">
      <c r="A66" s="2" t="s">
        <v>72</v>
      </c>
      <c r="B66" s="2" t="s">
        <v>159</v>
      </c>
      <c r="C66" s="2" t="s">
        <v>167</v>
      </c>
      <c r="D66" s="2" t="s">
        <v>342</v>
      </c>
      <c r="E66" s="22">
        <v>36541</v>
      </c>
      <c r="F66" s="22" t="str">
        <f t="shared" si="0"/>
        <v>36541</v>
      </c>
      <c r="G66" s="22">
        <v>36541</v>
      </c>
      <c r="H66" s="20">
        <v>42449</v>
      </c>
      <c r="I66" s="17">
        <v>2</v>
      </c>
      <c r="J66" s="2" t="s">
        <v>179</v>
      </c>
      <c r="K66" s="2" t="s">
        <v>235</v>
      </c>
    </row>
    <row r="67" spans="1:11" x14ac:dyDescent="0.35">
      <c r="A67" s="2" t="s">
        <v>73</v>
      </c>
      <c r="B67" s="2" t="s">
        <v>161</v>
      </c>
      <c r="C67" s="2" t="s">
        <v>169</v>
      </c>
      <c r="D67" s="2" t="s">
        <v>343</v>
      </c>
      <c r="E67" s="22">
        <v>84737</v>
      </c>
      <c r="F67" s="22" t="str">
        <f t="shared" si="0"/>
        <v>84737</v>
      </c>
      <c r="G67" s="22">
        <v>84737</v>
      </c>
      <c r="H67" s="20">
        <v>42456</v>
      </c>
      <c r="I67" s="17">
        <v>1</v>
      </c>
      <c r="J67" s="2" t="s">
        <v>180</v>
      </c>
      <c r="K67" s="2" t="s">
        <v>236</v>
      </c>
    </row>
    <row r="68" spans="1:11" x14ac:dyDescent="0.35">
      <c r="A68" s="2" t="s">
        <v>74</v>
      </c>
      <c r="B68" s="2" t="s">
        <v>163</v>
      </c>
      <c r="C68" s="2" t="s">
        <v>335</v>
      </c>
      <c r="D68" s="2" t="s">
        <v>343</v>
      </c>
      <c r="E68" s="22">
        <v>33468</v>
      </c>
      <c r="F68" s="22" t="str">
        <f t="shared" ref="F68:F131" si="1">SUBSTITUTE(E68,"N/A","0")</f>
        <v>33468</v>
      </c>
      <c r="G68" s="22">
        <v>33468</v>
      </c>
      <c r="H68" s="20">
        <v>42463</v>
      </c>
      <c r="I68" s="17">
        <v>4</v>
      </c>
      <c r="J68" s="2" t="s">
        <v>180</v>
      </c>
      <c r="K68" s="2" t="s">
        <v>237</v>
      </c>
    </row>
    <row r="69" spans="1:11" x14ac:dyDescent="0.35">
      <c r="A69" s="2" t="s">
        <v>75</v>
      </c>
      <c r="B69" s="2" t="s">
        <v>163</v>
      </c>
      <c r="C69" s="2" t="s">
        <v>338</v>
      </c>
      <c r="D69" s="2" t="s">
        <v>345</v>
      </c>
      <c r="E69" s="22">
        <v>96365</v>
      </c>
      <c r="F69" s="22" t="str">
        <f t="shared" si="1"/>
        <v>96365</v>
      </c>
      <c r="G69" s="22">
        <v>96365</v>
      </c>
      <c r="H69" s="20">
        <v>42470</v>
      </c>
      <c r="I69" s="17">
        <v>3</v>
      </c>
      <c r="J69" s="2" t="s">
        <v>179</v>
      </c>
      <c r="K69" s="2" t="s">
        <v>238</v>
      </c>
    </row>
    <row r="70" spans="1:11" x14ac:dyDescent="0.35">
      <c r="A70" s="2" t="s">
        <v>76</v>
      </c>
      <c r="B70" s="2" t="s">
        <v>160</v>
      </c>
      <c r="C70" s="2" t="s">
        <v>336</v>
      </c>
      <c r="D70" s="2" t="s">
        <v>343</v>
      </c>
      <c r="E70" s="22">
        <v>61942</v>
      </c>
      <c r="F70" s="22" t="str">
        <f t="shared" si="1"/>
        <v>61942</v>
      </c>
      <c r="G70" s="22">
        <v>61942</v>
      </c>
      <c r="H70" s="20">
        <v>42477</v>
      </c>
      <c r="I70" s="17">
        <v>3</v>
      </c>
      <c r="J70" s="2" t="s">
        <v>181</v>
      </c>
      <c r="K70" s="2" t="s">
        <v>239</v>
      </c>
    </row>
    <row r="71" spans="1:11" x14ac:dyDescent="0.35">
      <c r="A71" s="2" t="s">
        <v>77</v>
      </c>
      <c r="B71" s="2" t="s">
        <v>163</v>
      </c>
      <c r="C71" s="2" t="s">
        <v>335</v>
      </c>
      <c r="D71" s="2" t="s">
        <v>344</v>
      </c>
      <c r="E71" s="22">
        <v>41467</v>
      </c>
      <c r="F71" s="22" t="str">
        <f t="shared" si="1"/>
        <v>41467</v>
      </c>
      <c r="G71" s="22">
        <v>41467</v>
      </c>
      <c r="H71" s="20">
        <v>42484</v>
      </c>
      <c r="I71" s="17">
        <v>2</v>
      </c>
      <c r="J71" s="2" t="s">
        <v>178</v>
      </c>
      <c r="K71" s="2" t="s">
        <v>201</v>
      </c>
    </row>
    <row r="72" spans="1:11" x14ac:dyDescent="0.35">
      <c r="A72" s="2" t="s">
        <v>78</v>
      </c>
      <c r="B72" s="2" t="s">
        <v>165</v>
      </c>
      <c r="C72" s="2" t="s">
        <v>335</v>
      </c>
      <c r="D72" s="2" t="s">
        <v>343</v>
      </c>
      <c r="E72" s="22">
        <v>77096</v>
      </c>
      <c r="F72" s="22" t="str">
        <f t="shared" si="1"/>
        <v>77096</v>
      </c>
      <c r="G72" s="22">
        <v>77096</v>
      </c>
      <c r="H72" s="20">
        <v>42491</v>
      </c>
      <c r="I72" s="17">
        <v>1</v>
      </c>
      <c r="J72" s="2" t="s">
        <v>178</v>
      </c>
      <c r="K72" s="2" t="s">
        <v>240</v>
      </c>
    </row>
    <row r="73" spans="1:11" x14ac:dyDescent="0.35">
      <c r="A73" s="2" t="s">
        <v>79</v>
      </c>
      <c r="B73" s="2" t="s">
        <v>159</v>
      </c>
      <c r="C73" s="2" t="s">
        <v>336</v>
      </c>
      <c r="D73" s="2" t="s">
        <v>345</v>
      </c>
      <c r="E73" s="22">
        <v>69952</v>
      </c>
      <c r="F73" s="22" t="str">
        <f t="shared" si="1"/>
        <v>69952</v>
      </c>
      <c r="G73" s="22">
        <v>69952</v>
      </c>
      <c r="H73" s="20">
        <v>42498</v>
      </c>
      <c r="I73" s="17">
        <v>5</v>
      </c>
      <c r="J73" s="2" t="s">
        <v>181</v>
      </c>
      <c r="K73" s="2" t="s">
        <v>182</v>
      </c>
    </row>
    <row r="74" spans="1:11" x14ac:dyDescent="0.35">
      <c r="A74" s="2" t="s">
        <v>80</v>
      </c>
      <c r="B74" s="2" t="s">
        <v>159</v>
      </c>
      <c r="C74" s="2" t="s">
        <v>337</v>
      </c>
      <c r="D74" s="2" t="s">
        <v>342</v>
      </c>
      <c r="E74" s="22">
        <v>85065</v>
      </c>
      <c r="F74" s="22" t="str">
        <f t="shared" si="1"/>
        <v>85065</v>
      </c>
      <c r="G74" s="22">
        <v>85065</v>
      </c>
      <c r="H74" s="20">
        <v>42505</v>
      </c>
      <c r="I74" s="17">
        <v>3</v>
      </c>
      <c r="J74" s="2" t="s">
        <v>178</v>
      </c>
      <c r="K74" s="2" t="s">
        <v>241</v>
      </c>
    </row>
    <row r="75" spans="1:11" x14ac:dyDescent="0.35">
      <c r="A75" s="2" t="s">
        <v>81</v>
      </c>
      <c r="B75" s="2" t="s">
        <v>165</v>
      </c>
      <c r="C75" s="2" t="s">
        <v>337</v>
      </c>
      <c r="D75" s="2" t="s">
        <v>343</v>
      </c>
      <c r="E75" s="22">
        <v>56512</v>
      </c>
      <c r="F75" s="22" t="str">
        <f t="shared" si="1"/>
        <v>56512</v>
      </c>
      <c r="G75" s="22">
        <v>56512</v>
      </c>
      <c r="H75" s="20">
        <v>42512</v>
      </c>
      <c r="I75" s="17">
        <v>3</v>
      </c>
      <c r="J75" s="2" t="s">
        <v>179</v>
      </c>
      <c r="K75" s="2" t="s">
        <v>190</v>
      </c>
    </row>
    <row r="76" spans="1:11" x14ac:dyDescent="0.35">
      <c r="A76" s="2" t="s">
        <v>82</v>
      </c>
      <c r="B76" s="2" t="s">
        <v>161</v>
      </c>
      <c r="C76" s="2" t="s">
        <v>336</v>
      </c>
      <c r="D76" s="2" t="s">
        <v>343</v>
      </c>
      <c r="E76" s="22">
        <v>91101</v>
      </c>
      <c r="F76" s="22" t="str">
        <f t="shared" si="1"/>
        <v>91101</v>
      </c>
      <c r="G76" s="22">
        <v>91101</v>
      </c>
      <c r="H76" s="20">
        <v>42519</v>
      </c>
      <c r="I76" s="17">
        <v>4</v>
      </c>
      <c r="J76" s="2" t="s">
        <v>181</v>
      </c>
      <c r="K76" s="2" t="s">
        <v>234</v>
      </c>
    </row>
    <row r="77" spans="1:11" x14ac:dyDescent="0.35">
      <c r="A77" s="2" t="s">
        <v>83</v>
      </c>
      <c r="B77" s="2" t="s">
        <v>163</v>
      </c>
      <c r="C77" s="2" t="s">
        <v>338</v>
      </c>
      <c r="D77" s="2" t="s">
        <v>341</v>
      </c>
      <c r="E77" s="22">
        <v>41243</v>
      </c>
      <c r="F77" s="22" t="str">
        <f t="shared" si="1"/>
        <v>41243</v>
      </c>
      <c r="G77" s="22">
        <v>41243</v>
      </c>
      <c r="H77" s="20">
        <v>42526</v>
      </c>
      <c r="I77" s="17">
        <v>3</v>
      </c>
      <c r="J77" s="2" t="s">
        <v>178</v>
      </c>
      <c r="K77" s="2" t="s">
        <v>211</v>
      </c>
    </row>
    <row r="78" spans="1:11" x14ac:dyDescent="0.35">
      <c r="A78" s="2" t="s">
        <v>84</v>
      </c>
      <c r="B78" s="2" t="s">
        <v>178</v>
      </c>
      <c r="C78" s="2" t="s">
        <v>336</v>
      </c>
      <c r="D78" s="2" t="s">
        <v>340</v>
      </c>
      <c r="E78" s="22">
        <v>96142</v>
      </c>
      <c r="F78" s="22" t="str">
        <f t="shared" si="1"/>
        <v>96142</v>
      </c>
      <c r="G78" s="22">
        <v>96142</v>
      </c>
      <c r="H78" s="20">
        <v>42533</v>
      </c>
      <c r="I78" s="17">
        <v>1</v>
      </c>
      <c r="J78" s="2" t="s">
        <v>179</v>
      </c>
      <c r="K78" s="2" t="s">
        <v>242</v>
      </c>
    </row>
    <row r="79" spans="1:11" x14ac:dyDescent="0.35">
      <c r="A79" s="2" t="s">
        <v>85</v>
      </c>
      <c r="B79" s="2" t="s">
        <v>159</v>
      </c>
      <c r="C79" s="2" t="s">
        <v>169</v>
      </c>
      <c r="D79" s="2" t="s">
        <v>343</v>
      </c>
      <c r="E79" s="22">
        <v>94301</v>
      </c>
      <c r="F79" s="22" t="str">
        <f t="shared" si="1"/>
        <v>94301</v>
      </c>
      <c r="G79" s="22">
        <v>94301</v>
      </c>
      <c r="H79" s="20">
        <v>42540</v>
      </c>
      <c r="I79" s="17">
        <v>1</v>
      </c>
      <c r="J79" s="2" t="s">
        <v>180</v>
      </c>
      <c r="K79" s="2" t="s">
        <v>223</v>
      </c>
    </row>
    <row r="80" spans="1:11" x14ac:dyDescent="0.35">
      <c r="A80" s="2" t="s">
        <v>86</v>
      </c>
      <c r="B80" s="2" t="s">
        <v>162</v>
      </c>
      <c r="C80" s="2" t="s">
        <v>338</v>
      </c>
      <c r="D80" s="2" t="s">
        <v>344</v>
      </c>
      <c r="E80" s="22">
        <v>69166</v>
      </c>
      <c r="F80" s="22" t="str">
        <f t="shared" si="1"/>
        <v>69166</v>
      </c>
      <c r="G80" s="22">
        <v>69166</v>
      </c>
      <c r="H80" s="20">
        <v>42547</v>
      </c>
      <c r="I80" s="17">
        <v>1</v>
      </c>
      <c r="J80" s="2" t="s">
        <v>181</v>
      </c>
      <c r="K80" s="2" t="s">
        <v>243</v>
      </c>
    </row>
    <row r="81" spans="1:11" x14ac:dyDescent="0.35">
      <c r="A81" s="2" t="s">
        <v>87</v>
      </c>
      <c r="B81" s="2" t="s">
        <v>163</v>
      </c>
      <c r="C81" s="2" t="s">
        <v>338</v>
      </c>
      <c r="D81" s="2" t="s">
        <v>344</v>
      </c>
      <c r="E81" s="22">
        <v>78245</v>
      </c>
      <c r="F81" s="22" t="str">
        <f t="shared" si="1"/>
        <v>78245</v>
      </c>
      <c r="G81" s="22">
        <v>78245</v>
      </c>
      <c r="H81" s="20">
        <v>42554</v>
      </c>
      <c r="I81" s="17">
        <v>2</v>
      </c>
      <c r="J81" s="2" t="s">
        <v>178</v>
      </c>
      <c r="K81" s="2" t="s">
        <v>244</v>
      </c>
    </row>
    <row r="82" spans="1:11" x14ac:dyDescent="0.35">
      <c r="A82" s="2" t="s">
        <v>88</v>
      </c>
      <c r="B82" s="2" t="s">
        <v>164</v>
      </c>
      <c r="C82" s="2" t="s">
        <v>336</v>
      </c>
      <c r="D82" s="2" t="s">
        <v>342</v>
      </c>
      <c r="E82" s="22">
        <v>66079</v>
      </c>
      <c r="F82" s="22" t="str">
        <f t="shared" si="1"/>
        <v>66079</v>
      </c>
      <c r="G82" s="22">
        <v>66079</v>
      </c>
      <c r="H82" s="20">
        <v>42561</v>
      </c>
      <c r="I82" s="17">
        <v>2</v>
      </c>
      <c r="J82" s="2" t="s">
        <v>179</v>
      </c>
      <c r="K82" s="2" t="s">
        <v>245</v>
      </c>
    </row>
    <row r="83" spans="1:11" x14ac:dyDescent="0.35">
      <c r="A83" s="2" t="s">
        <v>89</v>
      </c>
      <c r="B83" s="2" t="s">
        <v>159</v>
      </c>
      <c r="C83" s="2" t="s">
        <v>337</v>
      </c>
      <c r="D83" s="2" t="s">
        <v>343</v>
      </c>
      <c r="E83" s="22" t="s">
        <v>177</v>
      </c>
      <c r="F83" s="22" t="str">
        <f t="shared" si="1"/>
        <v>0</v>
      </c>
      <c r="G83" s="22">
        <v>63687</v>
      </c>
      <c r="H83" s="20" t="s">
        <v>178</v>
      </c>
      <c r="I83" s="17">
        <v>3</v>
      </c>
      <c r="J83" s="2" t="s">
        <v>178</v>
      </c>
      <c r="K83" s="2" t="s">
        <v>208</v>
      </c>
    </row>
    <row r="84" spans="1:11" x14ac:dyDescent="0.35">
      <c r="A84" s="2" t="s">
        <v>90</v>
      </c>
      <c r="B84" s="2" t="s">
        <v>162</v>
      </c>
      <c r="C84" s="2" t="s">
        <v>336</v>
      </c>
      <c r="D84" s="2" t="s">
        <v>342</v>
      </c>
      <c r="E84" s="22">
        <v>95621</v>
      </c>
      <c r="F84" s="22" t="str">
        <f t="shared" si="1"/>
        <v>95621</v>
      </c>
      <c r="G84" s="22">
        <v>95621</v>
      </c>
      <c r="H84" s="20">
        <v>42575</v>
      </c>
      <c r="I84" s="17">
        <v>3</v>
      </c>
      <c r="J84" s="2" t="s">
        <v>181</v>
      </c>
      <c r="K84" s="2" t="s">
        <v>246</v>
      </c>
    </row>
    <row r="85" spans="1:11" x14ac:dyDescent="0.35">
      <c r="A85" s="2" t="s">
        <v>91</v>
      </c>
      <c r="B85" s="2" t="s">
        <v>159</v>
      </c>
      <c r="C85" s="2" t="s">
        <v>169</v>
      </c>
      <c r="D85" s="2" t="s">
        <v>344</v>
      </c>
      <c r="E85" s="22">
        <v>42262</v>
      </c>
      <c r="F85" s="22" t="str">
        <f t="shared" si="1"/>
        <v>42262</v>
      </c>
      <c r="G85" s="22">
        <v>42262</v>
      </c>
      <c r="H85" s="20">
        <v>42582</v>
      </c>
      <c r="I85" s="17">
        <v>1</v>
      </c>
      <c r="J85" s="2" t="s">
        <v>178</v>
      </c>
      <c r="K85" s="2" t="s">
        <v>247</v>
      </c>
    </row>
    <row r="86" spans="1:11" x14ac:dyDescent="0.35">
      <c r="A86" s="2" t="s">
        <v>92</v>
      </c>
      <c r="B86" s="2" t="s">
        <v>163</v>
      </c>
      <c r="C86" s="2" t="s">
        <v>336</v>
      </c>
      <c r="D86" s="2" t="s">
        <v>343</v>
      </c>
      <c r="E86" s="22">
        <v>99621</v>
      </c>
      <c r="F86" s="22" t="str">
        <f t="shared" si="1"/>
        <v>99621</v>
      </c>
      <c r="G86" s="22">
        <v>99621</v>
      </c>
      <c r="H86" s="20">
        <v>42589</v>
      </c>
      <c r="I86" s="17">
        <v>3</v>
      </c>
      <c r="J86" s="2" t="s">
        <v>179</v>
      </c>
      <c r="K86" s="2" t="s">
        <v>248</v>
      </c>
    </row>
    <row r="87" spans="1:11" x14ac:dyDescent="0.35">
      <c r="A87" s="2" t="s">
        <v>93</v>
      </c>
      <c r="B87" s="2" t="s">
        <v>161</v>
      </c>
      <c r="C87" s="2" t="s">
        <v>337</v>
      </c>
      <c r="D87" s="2" t="s">
        <v>343</v>
      </c>
      <c r="E87" s="22">
        <v>44682</v>
      </c>
      <c r="F87" s="22" t="str">
        <f t="shared" si="1"/>
        <v>44682</v>
      </c>
      <c r="G87" s="22">
        <v>44682</v>
      </c>
      <c r="H87" s="20">
        <v>42596</v>
      </c>
      <c r="I87" s="17">
        <v>4</v>
      </c>
      <c r="J87" s="2" t="s">
        <v>181</v>
      </c>
      <c r="K87" s="2" t="s">
        <v>220</v>
      </c>
    </row>
    <row r="88" spans="1:11" x14ac:dyDescent="0.35">
      <c r="A88" s="2" t="s">
        <v>94</v>
      </c>
      <c r="B88" s="2" t="s">
        <v>164</v>
      </c>
      <c r="C88" s="2" t="s">
        <v>335</v>
      </c>
      <c r="D88" s="2" t="s">
        <v>340</v>
      </c>
      <c r="E88" s="22">
        <v>35163</v>
      </c>
      <c r="F88" s="22" t="str">
        <f t="shared" si="1"/>
        <v>35163</v>
      </c>
      <c r="G88" s="22">
        <v>35163</v>
      </c>
      <c r="H88" s="20">
        <v>42603</v>
      </c>
      <c r="I88" s="17">
        <v>5</v>
      </c>
      <c r="J88" s="2" t="s">
        <v>179</v>
      </c>
      <c r="K88" s="2" t="s">
        <v>249</v>
      </c>
    </row>
    <row r="89" spans="1:11" x14ac:dyDescent="0.35">
      <c r="A89" s="2" t="s">
        <v>95</v>
      </c>
      <c r="B89" s="2" t="s">
        <v>164</v>
      </c>
      <c r="C89" s="2" t="s">
        <v>169</v>
      </c>
      <c r="D89" s="2" t="s">
        <v>343</v>
      </c>
      <c r="E89" s="22">
        <v>33483</v>
      </c>
      <c r="F89" s="22" t="str">
        <f t="shared" si="1"/>
        <v>33483</v>
      </c>
      <c r="G89" s="22">
        <v>33483</v>
      </c>
      <c r="H89" s="20">
        <v>42610</v>
      </c>
      <c r="I89" s="17">
        <v>4</v>
      </c>
      <c r="J89" s="2" t="s">
        <v>180</v>
      </c>
      <c r="K89" s="2" t="s">
        <v>250</v>
      </c>
    </row>
    <row r="90" spans="1:11" x14ac:dyDescent="0.35">
      <c r="A90" s="2" t="s">
        <v>96</v>
      </c>
      <c r="B90" s="2" t="s">
        <v>163</v>
      </c>
      <c r="C90" s="2" t="s">
        <v>167</v>
      </c>
      <c r="D90" s="2" t="s">
        <v>341</v>
      </c>
      <c r="E90" s="22">
        <v>55303</v>
      </c>
      <c r="F90" s="22" t="str">
        <f t="shared" si="1"/>
        <v>55303</v>
      </c>
      <c r="G90" s="22">
        <v>55303</v>
      </c>
      <c r="H90" s="20">
        <v>42617</v>
      </c>
      <c r="I90" s="17">
        <v>4</v>
      </c>
      <c r="J90" s="2" t="s">
        <v>180</v>
      </c>
      <c r="K90" s="2" t="s">
        <v>203</v>
      </c>
    </row>
    <row r="91" spans="1:11" x14ac:dyDescent="0.35">
      <c r="A91" s="2" t="s">
        <v>97</v>
      </c>
      <c r="B91" s="2" t="s">
        <v>164</v>
      </c>
      <c r="C91" s="2" t="s">
        <v>169</v>
      </c>
      <c r="D91" s="2" t="s">
        <v>340</v>
      </c>
      <c r="E91" s="22">
        <v>63434</v>
      </c>
      <c r="F91" s="22" t="str">
        <f t="shared" si="1"/>
        <v>63434</v>
      </c>
      <c r="G91" s="22">
        <v>63434</v>
      </c>
      <c r="H91" s="20">
        <v>42624</v>
      </c>
      <c r="I91" s="17">
        <v>3</v>
      </c>
      <c r="J91" s="2" t="s">
        <v>178</v>
      </c>
      <c r="K91" s="2" t="s">
        <v>251</v>
      </c>
    </row>
    <row r="92" spans="1:11" x14ac:dyDescent="0.35">
      <c r="A92" s="2" t="s">
        <v>98</v>
      </c>
      <c r="B92" s="2" t="s">
        <v>162</v>
      </c>
      <c r="C92" s="2" t="s">
        <v>338</v>
      </c>
      <c r="D92" s="2" t="s">
        <v>345</v>
      </c>
      <c r="E92" s="22">
        <v>38830</v>
      </c>
      <c r="F92" s="22" t="str">
        <f t="shared" si="1"/>
        <v>38830</v>
      </c>
      <c r="G92" s="22">
        <v>38830</v>
      </c>
      <c r="H92" s="20">
        <v>42631</v>
      </c>
      <c r="I92" s="17">
        <v>3</v>
      </c>
      <c r="J92" s="2" t="s">
        <v>179</v>
      </c>
      <c r="K92" s="2" t="s">
        <v>203</v>
      </c>
    </row>
    <row r="93" spans="1:11" x14ac:dyDescent="0.35">
      <c r="A93" s="2" t="s">
        <v>99</v>
      </c>
      <c r="B93" s="2" t="s">
        <v>178</v>
      </c>
      <c r="C93" s="2" t="s">
        <v>337</v>
      </c>
      <c r="D93" s="2" t="s">
        <v>344</v>
      </c>
      <c r="E93" s="22">
        <v>50741</v>
      </c>
      <c r="F93" s="22" t="str">
        <f t="shared" si="1"/>
        <v>50741</v>
      </c>
      <c r="G93" s="22">
        <v>50741</v>
      </c>
      <c r="H93" s="20">
        <v>42638</v>
      </c>
      <c r="I93" s="17">
        <v>3</v>
      </c>
      <c r="J93" s="2" t="s">
        <v>178</v>
      </c>
      <c r="K93" s="2" t="s">
        <v>240</v>
      </c>
    </row>
    <row r="94" spans="1:11" x14ac:dyDescent="0.35">
      <c r="A94" s="2" t="s">
        <v>100</v>
      </c>
      <c r="B94" s="2" t="s">
        <v>160</v>
      </c>
      <c r="C94" s="2" t="s">
        <v>167</v>
      </c>
      <c r="D94" s="2" t="s">
        <v>345</v>
      </c>
      <c r="E94" s="22">
        <v>69420</v>
      </c>
      <c r="F94" s="22" t="str">
        <f t="shared" si="1"/>
        <v>69420</v>
      </c>
      <c r="G94" s="22">
        <v>69420</v>
      </c>
      <c r="H94" s="20">
        <v>42645</v>
      </c>
      <c r="I94" s="17">
        <v>1</v>
      </c>
      <c r="J94" s="2" t="s">
        <v>180</v>
      </c>
      <c r="K94" s="2" t="s">
        <v>225</v>
      </c>
    </row>
    <row r="95" spans="1:11" x14ac:dyDescent="0.35">
      <c r="A95" s="2" t="s">
        <v>101</v>
      </c>
      <c r="B95" s="2" t="s">
        <v>162</v>
      </c>
      <c r="C95" s="2" t="s">
        <v>169</v>
      </c>
      <c r="D95" s="2" t="s">
        <v>340</v>
      </c>
      <c r="E95" s="22">
        <v>80588</v>
      </c>
      <c r="F95" s="22" t="str">
        <f t="shared" si="1"/>
        <v>80588</v>
      </c>
      <c r="G95" s="22">
        <v>80588</v>
      </c>
      <c r="H95" s="20">
        <v>42652</v>
      </c>
      <c r="I95" s="17">
        <v>5</v>
      </c>
      <c r="J95" s="2" t="s">
        <v>180</v>
      </c>
      <c r="K95" s="2" t="s">
        <v>216</v>
      </c>
    </row>
    <row r="96" spans="1:11" x14ac:dyDescent="0.35">
      <c r="A96" s="2" t="s">
        <v>102</v>
      </c>
      <c r="B96" s="2" t="s">
        <v>160</v>
      </c>
      <c r="C96" s="2" t="s">
        <v>338</v>
      </c>
      <c r="D96" s="2" t="s">
        <v>342</v>
      </c>
      <c r="E96" s="22">
        <v>76238</v>
      </c>
      <c r="F96" s="22" t="str">
        <f t="shared" si="1"/>
        <v>76238</v>
      </c>
      <c r="G96" s="22">
        <v>76238</v>
      </c>
      <c r="H96" s="20">
        <v>42659</v>
      </c>
      <c r="I96" s="17">
        <v>4</v>
      </c>
      <c r="J96" s="2" t="s">
        <v>180</v>
      </c>
      <c r="K96" s="2" t="s">
        <v>252</v>
      </c>
    </row>
    <row r="97" spans="1:11" x14ac:dyDescent="0.35">
      <c r="A97" s="2" t="s">
        <v>103</v>
      </c>
      <c r="B97" s="2" t="s">
        <v>165</v>
      </c>
      <c r="C97" s="2" t="s">
        <v>169</v>
      </c>
      <c r="D97" s="2" t="s">
        <v>343</v>
      </c>
      <c r="E97" s="22">
        <v>33264</v>
      </c>
      <c r="F97" s="22" t="str">
        <f t="shared" si="1"/>
        <v>33264</v>
      </c>
      <c r="G97" s="22">
        <v>33264</v>
      </c>
      <c r="H97" s="20">
        <v>42666</v>
      </c>
      <c r="I97" s="17">
        <v>3</v>
      </c>
      <c r="J97" s="2" t="s">
        <v>181</v>
      </c>
      <c r="K97" s="2" t="s">
        <v>253</v>
      </c>
    </row>
    <row r="98" spans="1:11" x14ac:dyDescent="0.35">
      <c r="A98" s="2" t="s">
        <v>104</v>
      </c>
      <c r="B98" s="2" t="s">
        <v>160</v>
      </c>
      <c r="C98" s="2" t="s">
        <v>335</v>
      </c>
      <c r="D98" s="2" t="s">
        <v>345</v>
      </c>
      <c r="E98" s="22">
        <v>96101</v>
      </c>
      <c r="F98" s="22" t="str">
        <f t="shared" si="1"/>
        <v>96101</v>
      </c>
      <c r="G98" s="22">
        <v>96101</v>
      </c>
      <c r="H98" s="20">
        <v>42673</v>
      </c>
      <c r="I98" s="17">
        <v>3</v>
      </c>
      <c r="J98" s="2" t="s">
        <v>179</v>
      </c>
      <c r="K98" s="2" t="s">
        <v>254</v>
      </c>
    </row>
    <row r="99" spans="1:11" x14ac:dyDescent="0.35">
      <c r="A99" s="2" t="s">
        <v>105</v>
      </c>
      <c r="B99" s="2" t="s">
        <v>162</v>
      </c>
      <c r="C99" s="2" t="s">
        <v>335</v>
      </c>
      <c r="D99" s="2" t="s">
        <v>342</v>
      </c>
      <c r="E99" s="22">
        <v>72939</v>
      </c>
      <c r="F99" s="22" t="str">
        <f t="shared" si="1"/>
        <v>72939</v>
      </c>
      <c r="G99" s="22">
        <v>72939</v>
      </c>
      <c r="H99" s="20">
        <v>42680</v>
      </c>
      <c r="I99" s="17">
        <v>3</v>
      </c>
      <c r="J99" s="2" t="s">
        <v>178</v>
      </c>
      <c r="K99" s="2" t="s">
        <v>255</v>
      </c>
    </row>
    <row r="100" spans="1:11" x14ac:dyDescent="0.35">
      <c r="A100" s="2" t="s">
        <v>106</v>
      </c>
      <c r="B100" s="2" t="s">
        <v>163</v>
      </c>
      <c r="C100" s="2" t="s">
        <v>167</v>
      </c>
      <c r="D100" s="2" t="s">
        <v>341</v>
      </c>
      <c r="E100" s="22">
        <v>89333</v>
      </c>
      <c r="F100" s="22" t="str">
        <f t="shared" si="1"/>
        <v>89333</v>
      </c>
      <c r="G100" s="22">
        <v>89333</v>
      </c>
      <c r="H100" s="20">
        <v>42687</v>
      </c>
      <c r="I100" s="17">
        <v>1</v>
      </c>
      <c r="J100" s="2" t="s">
        <v>180</v>
      </c>
      <c r="K100" s="2" t="s">
        <v>256</v>
      </c>
    </row>
    <row r="101" spans="1:11" x14ac:dyDescent="0.35">
      <c r="A101" s="2" t="s">
        <v>107</v>
      </c>
      <c r="B101" s="2" t="s">
        <v>165</v>
      </c>
      <c r="C101" s="2" t="s">
        <v>169</v>
      </c>
      <c r="D101" s="2" t="s">
        <v>345</v>
      </c>
      <c r="E101" s="22">
        <v>70470</v>
      </c>
      <c r="F101" s="22" t="str">
        <f t="shared" si="1"/>
        <v>70470</v>
      </c>
      <c r="G101" s="22">
        <v>70470</v>
      </c>
      <c r="H101" s="20">
        <v>42694</v>
      </c>
      <c r="I101" s="17">
        <v>3</v>
      </c>
      <c r="J101" s="2" t="s">
        <v>180</v>
      </c>
      <c r="K101" s="2" t="s">
        <v>257</v>
      </c>
    </row>
    <row r="102" spans="1:11" x14ac:dyDescent="0.35">
      <c r="A102" s="2" t="s">
        <v>108</v>
      </c>
      <c r="B102" s="2" t="s">
        <v>159</v>
      </c>
      <c r="C102" s="2" t="s">
        <v>337</v>
      </c>
      <c r="D102" s="2" t="s">
        <v>342</v>
      </c>
      <c r="E102" s="22">
        <v>70096</v>
      </c>
      <c r="F102" s="22" t="str">
        <f t="shared" si="1"/>
        <v>70096</v>
      </c>
      <c r="G102" s="22">
        <v>70096</v>
      </c>
      <c r="H102" s="20">
        <v>42701</v>
      </c>
      <c r="I102" s="17">
        <v>4</v>
      </c>
      <c r="J102" s="2" t="s">
        <v>180</v>
      </c>
      <c r="K102" s="2" t="s">
        <v>258</v>
      </c>
    </row>
    <row r="103" spans="1:11" x14ac:dyDescent="0.35">
      <c r="A103" s="2" t="s">
        <v>109</v>
      </c>
      <c r="B103" s="2" t="s">
        <v>165</v>
      </c>
      <c r="C103" s="2" t="s">
        <v>337</v>
      </c>
      <c r="D103" s="2" t="s">
        <v>340</v>
      </c>
      <c r="E103" s="22" t="s">
        <v>177</v>
      </c>
      <c r="F103" s="22" t="str">
        <f t="shared" si="1"/>
        <v>0</v>
      </c>
      <c r="G103" s="22">
        <v>63687</v>
      </c>
      <c r="H103" s="20">
        <v>42708</v>
      </c>
      <c r="I103" s="17">
        <v>2</v>
      </c>
      <c r="J103" s="2" t="s">
        <v>179</v>
      </c>
      <c r="K103" s="2" t="s">
        <v>259</v>
      </c>
    </row>
    <row r="104" spans="1:11" x14ac:dyDescent="0.35">
      <c r="A104" s="2" t="s">
        <v>110</v>
      </c>
      <c r="B104" s="2" t="s">
        <v>165</v>
      </c>
      <c r="C104" s="2" t="s">
        <v>169</v>
      </c>
      <c r="D104" s="2" t="s">
        <v>341</v>
      </c>
      <c r="E104" s="22">
        <v>66503</v>
      </c>
      <c r="F104" s="22" t="str">
        <f t="shared" si="1"/>
        <v>66503</v>
      </c>
      <c r="G104" s="22">
        <v>66503</v>
      </c>
      <c r="H104" s="20">
        <v>42715</v>
      </c>
      <c r="I104" s="17">
        <v>3</v>
      </c>
      <c r="J104" s="2" t="s">
        <v>180</v>
      </c>
      <c r="K104" s="2" t="s">
        <v>200</v>
      </c>
    </row>
    <row r="105" spans="1:11" x14ac:dyDescent="0.35">
      <c r="A105" s="2" t="s">
        <v>111</v>
      </c>
      <c r="B105" s="2" t="s">
        <v>160</v>
      </c>
      <c r="C105" s="2" t="s">
        <v>167</v>
      </c>
      <c r="D105" s="2" t="s">
        <v>341</v>
      </c>
      <c r="E105" s="22">
        <v>42096</v>
      </c>
      <c r="F105" s="22" t="str">
        <f t="shared" si="1"/>
        <v>42096</v>
      </c>
      <c r="G105" s="22">
        <v>42096</v>
      </c>
      <c r="H105" s="20">
        <v>42722</v>
      </c>
      <c r="I105" s="17">
        <v>3</v>
      </c>
      <c r="J105" s="2" t="s">
        <v>181</v>
      </c>
      <c r="K105" s="2" t="s">
        <v>260</v>
      </c>
    </row>
    <row r="106" spans="1:11" x14ac:dyDescent="0.35">
      <c r="A106" s="2" t="s">
        <v>112</v>
      </c>
      <c r="B106" s="2" t="s">
        <v>160</v>
      </c>
      <c r="C106" s="2" t="s">
        <v>337</v>
      </c>
      <c r="D106" s="2" t="s">
        <v>340</v>
      </c>
      <c r="E106" s="22">
        <v>79145</v>
      </c>
      <c r="F106" s="22" t="str">
        <f t="shared" si="1"/>
        <v>79145</v>
      </c>
      <c r="G106" s="22">
        <v>79145</v>
      </c>
      <c r="H106" s="20">
        <v>42729</v>
      </c>
      <c r="I106" s="17">
        <v>5</v>
      </c>
      <c r="J106" s="2" t="s">
        <v>179</v>
      </c>
      <c r="K106" s="2" t="s">
        <v>223</v>
      </c>
    </row>
    <row r="107" spans="1:11" x14ac:dyDescent="0.35">
      <c r="A107" s="2" t="s">
        <v>113</v>
      </c>
      <c r="B107" s="2" t="s">
        <v>162</v>
      </c>
      <c r="C107" s="2" t="s">
        <v>338</v>
      </c>
      <c r="D107" s="2" t="s">
        <v>345</v>
      </c>
      <c r="E107" s="22">
        <v>61556</v>
      </c>
      <c r="F107" s="22" t="str">
        <f t="shared" si="1"/>
        <v>61556</v>
      </c>
      <c r="G107" s="22">
        <v>61556</v>
      </c>
      <c r="H107" s="20">
        <v>42736</v>
      </c>
      <c r="I107" s="17">
        <v>1</v>
      </c>
      <c r="J107" s="2" t="s">
        <v>178</v>
      </c>
      <c r="K107" s="2" t="s">
        <v>259</v>
      </c>
    </row>
    <row r="108" spans="1:11" x14ac:dyDescent="0.35">
      <c r="A108" s="2" t="s">
        <v>114</v>
      </c>
      <c r="B108" s="2" t="s">
        <v>178</v>
      </c>
      <c r="C108" s="2" t="s">
        <v>167</v>
      </c>
      <c r="D108" s="2" t="s">
        <v>344</v>
      </c>
      <c r="E108" s="22">
        <v>87963</v>
      </c>
      <c r="F108" s="22" t="str">
        <f t="shared" si="1"/>
        <v>87963</v>
      </c>
      <c r="G108" s="22">
        <v>87963</v>
      </c>
      <c r="H108" s="20">
        <v>42743</v>
      </c>
      <c r="I108" s="17">
        <v>3</v>
      </c>
      <c r="J108" s="2" t="s">
        <v>179</v>
      </c>
      <c r="K108" s="2" t="s">
        <v>182</v>
      </c>
    </row>
    <row r="109" spans="1:11" x14ac:dyDescent="0.35">
      <c r="A109" s="2" t="s">
        <v>115</v>
      </c>
      <c r="B109" s="2" t="s">
        <v>159</v>
      </c>
      <c r="C109" s="2" t="s">
        <v>169</v>
      </c>
      <c r="D109" s="2" t="s">
        <v>340</v>
      </c>
      <c r="E109" s="22">
        <v>48325</v>
      </c>
      <c r="F109" s="22" t="str">
        <f t="shared" si="1"/>
        <v>48325</v>
      </c>
      <c r="G109" s="22">
        <v>48325</v>
      </c>
      <c r="H109" s="20">
        <v>42750</v>
      </c>
      <c r="I109" s="17">
        <v>3</v>
      </c>
      <c r="J109" s="2" t="s">
        <v>180</v>
      </c>
      <c r="K109" s="2" t="s">
        <v>261</v>
      </c>
    </row>
    <row r="110" spans="1:11" x14ac:dyDescent="0.35">
      <c r="A110" s="2" t="s">
        <v>116</v>
      </c>
      <c r="B110" s="2" t="s">
        <v>163</v>
      </c>
      <c r="C110" s="2" t="s">
        <v>337</v>
      </c>
      <c r="D110" s="2" t="s">
        <v>345</v>
      </c>
      <c r="E110" s="22">
        <v>86412</v>
      </c>
      <c r="F110" s="22" t="str">
        <f t="shared" si="1"/>
        <v>86412</v>
      </c>
      <c r="G110" s="22">
        <v>86412</v>
      </c>
      <c r="H110" s="20">
        <v>42757</v>
      </c>
      <c r="I110" s="17">
        <v>2</v>
      </c>
      <c r="J110" s="2" t="s">
        <v>181</v>
      </c>
      <c r="K110" s="2" t="s">
        <v>202</v>
      </c>
    </row>
    <row r="111" spans="1:11" x14ac:dyDescent="0.35">
      <c r="A111" s="2" t="s">
        <v>117</v>
      </c>
      <c r="B111" s="2" t="s">
        <v>163</v>
      </c>
      <c r="C111" s="2" t="s">
        <v>167</v>
      </c>
      <c r="D111" s="2" t="s">
        <v>340</v>
      </c>
      <c r="E111" s="22">
        <v>66761</v>
      </c>
      <c r="F111" s="22" t="str">
        <f t="shared" si="1"/>
        <v>66761</v>
      </c>
      <c r="G111" s="22">
        <v>66761</v>
      </c>
      <c r="H111" s="20">
        <v>42764</v>
      </c>
      <c r="I111" s="17">
        <v>1</v>
      </c>
      <c r="J111" s="2" t="s">
        <v>178</v>
      </c>
      <c r="K111" s="2" t="s">
        <v>262</v>
      </c>
    </row>
    <row r="112" spans="1:11" x14ac:dyDescent="0.35">
      <c r="A112" s="2" t="s">
        <v>118</v>
      </c>
      <c r="B112" s="2" t="s">
        <v>162</v>
      </c>
      <c r="C112" s="2" t="s">
        <v>338</v>
      </c>
      <c r="D112" s="2" t="s">
        <v>343</v>
      </c>
      <c r="E112" s="22">
        <v>88850</v>
      </c>
      <c r="F112" s="22" t="str">
        <f t="shared" si="1"/>
        <v>88850</v>
      </c>
      <c r="G112" s="22">
        <v>88850</v>
      </c>
      <c r="H112" s="20">
        <v>42771</v>
      </c>
      <c r="I112" s="17">
        <v>1</v>
      </c>
      <c r="J112" s="2" t="s">
        <v>181</v>
      </c>
      <c r="K112" s="2" t="s">
        <v>263</v>
      </c>
    </row>
    <row r="113" spans="1:11" x14ac:dyDescent="0.35">
      <c r="A113" s="2" t="s">
        <v>119</v>
      </c>
      <c r="B113" s="2" t="s">
        <v>164</v>
      </c>
      <c r="C113" s="2" t="s">
        <v>336</v>
      </c>
      <c r="D113" s="2" t="s">
        <v>343</v>
      </c>
      <c r="E113" s="22">
        <v>31293</v>
      </c>
      <c r="F113" s="22" t="str">
        <f t="shared" si="1"/>
        <v>31293</v>
      </c>
      <c r="G113" s="22">
        <v>31293</v>
      </c>
      <c r="H113" s="20" t="s">
        <v>178</v>
      </c>
      <c r="I113" s="17">
        <v>2</v>
      </c>
      <c r="J113" s="2" t="s">
        <v>181</v>
      </c>
      <c r="K113" s="2" t="s">
        <v>264</v>
      </c>
    </row>
    <row r="114" spans="1:11" x14ac:dyDescent="0.35">
      <c r="A114" s="2" t="s">
        <v>120</v>
      </c>
      <c r="B114" s="2" t="s">
        <v>164</v>
      </c>
      <c r="C114" s="2" t="s">
        <v>169</v>
      </c>
      <c r="D114" s="2" t="s">
        <v>342</v>
      </c>
      <c r="E114" s="22">
        <v>34306</v>
      </c>
      <c r="F114" s="22" t="str">
        <f t="shared" si="1"/>
        <v>34306</v>
      </c>
      <c r="G114" s="22">
        <v>34306</v>
      </c>
      <c r="H114" s="20">
        <v>42785</v>
      </c>
      <c r="I114" s="17">
        <v>5</v>
      </c>
      <c r="J114" s="2" t="s">
        <v>181</v>
      </c>
      <c r="K114" s="2" t="s">
        <v>239</v>
      </c>
    </row>
    <row r="115" spans="1:11" x14ac:dyDescent="0.35">
      <c r="A115" s="2" t="s">
        <v>121</v>
      </c>
      <c r="B115" s="2" t="s">
        <v>159</v>
      </c>
      <c r="C115" s="2" t="s">
        <v>335</v>
      </c>
      <c r="D115" s="2" t="s">
        <v>343</v>
      </c>
      <c r="E115" s="22">
        <v>78330</v>
      </c>
      <c r="F115" s="22" t="str">
        <f t="shared" si="1"/>
        <v>78330</v>
      </c>
      <c r="G115" s="22">
        <v>78330</v>
      </c>
      <c r="H115" s="20">
        <v>42792</v>
      </c>
      <c r="I115" s="17">
        <v>3</v>
      </c>
      <c r="J115" s="2" t="s">
        <v>179</v>
      </c>
      <c r="K115" s="2" t="s">
        <v>258</v>
      </c>
    </row>
    <row r="116" spans="1:11" x14ac:dyDescent="0.35">
      <c r="A116" s="2" t="s">
        <v>122</v>
      </c>
      <c r="B116" s="2" t="s">
        <v>160</v>
      </c>
      <c r="C116" s="2" t="s">
        <v>169</v>
      </c>
      <c r="D116" s="2" t="s">
        <v>342</v>
      </c>
      <c r="E116" s="22">
        <v>47653</v>
      </c>
      <c r="F116" s="22" t="str">
        <f t="shared" si="1"/>
        <v>47653</v>
      </c>
      <c r="G116" s="22">
        <v>47653</v>
      </c>
      <c r="H116" s="20">
        <v>42799</v>
      </c>
      <c r="I116" s="17">
        <v>1</v>
      </c>
      <c r="J116" s="2" t="s">
        <v>180</v>
      </c>
      <c r="K116" s="2" t="s">
        <v>265</v>
      </c>
    </row>
    <row r="117" spans="1:11" x14ac:dyDescent="0.35">
      <c r="A117" s="2" t="s">
        <v>123</v>
      </c>
      <c r="B117" s="2" t="s">
        <v>159</v>
      </c>
      <c r="C117" s="2" t="s">
        <v>337</v>
      </c>
      <c r="D117" s="2" t="s">
        <v>344</v>
      </c>
      <c r="E117" s="22">
        <v>44627</v>
      </c>
      <c r="F117" s="22" t="str">
        <f t="shared" si="1"/>
        <v>44627</v>
      </c>
      <c r="G117" s="22">
        <v>44627</v>
      </c>
      <c r="H117" s="20">
        <v>42806</v>
      </c>
      <c r="I117" s="17">
        <v>4</v>
      </c>
      <c r="J117" s="2" t="s">
        <v>178</v>
      </c>
      <c r="K117" s="2" t="s">
        <v>235</v>
      </c>
    </row>
    <row r="118" spans="1:11" x14ac:dyDescent="0.35">
      <c r="A118" s="2" t="s">
        <v>124</v>
      </c>
      <c r="B118" s="2" t="s">
        <v>165</v>
      </c>
      <c r="C118" s="2" t="s">
        <v>167</v>
      </c>
      <c r="D118" s="2" t="s">
        <v>341</v>
      </c>
      <c r="E118" s="22">
        <v>92343</v>
      </c>
      <c r="F118" s="22" t="str">
        <f t="shared" si="1"/>
        <v>92343</v>
      </c>
      <c r="G118" s="22">
        <v>92343</v>
      </c>
      <c r="H118" s="20">
        <v>42813</v>
      </c>
      <c r="I118" s="17">
        <v>4</v>
      </c>
      <c r="J118" s="2" t="s">
        <v>181</v>
      </c>
      <c r="K118" s="2" t="s">
        <v>203</v>
      </c>
    </row>
    <row r="119" spans="1:11" x14ac:dyDescent="0.35">
      <c r="A119" s="2" t="s">
        <v>125</v>
      </c>
      <c r="B119" s="2" t="s">
        <v>165</v>
      </c>
      <c r="C119" s="2" t="s">
        <v>337</v>
      </c>
      <c r="D119" s="2" t="s">
        <v>345</v>
      </c>
      <c r="E119" s="22">
        <v>38837</v>
      </c>
      <c r="F119" s="22" t="str">
        <f t="shared" si="1"/>
        <v>38837</v>
      </c>
      <c r="G119" s="22">
        <v>38837</v>
      </c>
      <c r="H119" s="20">
        <v>42820</v>
      </c>
      <c r="I119" s="17">
        <v>5</v>
      </c>
      <c r="J119" s="2" t="s">
        <v>181</v>
      </c>
      <c r="K119" s="2" t="s">
        <v>239</v>
      </c>
    </row>
    <row r="120" spans="1:11" x14ac:dyDescent="0.35">
      <c r="A120" s="2" t="s">
        <v>126</v>
      </c>
      <c r="B120" s="2" t="s">
        <v>165</v>
      </c>
      <c r="C120" s="2" t="s">
        <v>337</v>
      </c>
      <c r="D120" s="2" t="s">
        <v>340</v>
      </c>
      <c r="E120" s="22">
        <v>73483</v>
      </c>
      <c r="F120" s="22" t="str">
        <f t="shared" si="1"/>
        <v>73483</v>
      </c>
      <c r="G120" s="22">
        <v>73483</v>
      </c>
      <c r="H120" s="20">
        <v>42827</v>
      </c>
      <c r="I120" s="17">
        <v>1</v>
      </c>
      <c r="J120" s="2" t="s">
        <v>178</v>
      </c>
      <c r="K120" s="2" t="s">
        <v>266</v>
      </c>
    </row>
    <row r="121" spans="1:11" x14ac:dyDescent="0.35">
      <c r="A121" s="2" t="s">
        <v>127</v>
      </c>
      <c r="B121" s="2" t="s">
        <v>164</v>
      </c>
      <c r="C121" s="2" t="s">
        <v>336</v>
      </c>
      <c r="D121" s="2" t="s">
        <v>343</v>
      </c>
      <c r="E121" s="22">
        <v>95032</v>
      </c>
      <c r="F121" s="22" t="str">
        <f t="shared" si="1"/>
        <v>95032</v>
      </c>
      <c r="G121" s="22">
        <v>95032</v>
      </c>
      <c r="H121" s="20">
        <v>42834</v>
      </c>
      <c r="I121" s="17">
        <v>3</v>
      </c>
      <c r="J121" s="2" t="s">
        <v>178</v>
      </c>
      <c r="K121" s="2" t="s">
        <v>267</v>
      </c>
    </row>
    <row r="122" spans="1:11" x14ac:dyDescent="0.35">
      <c r="A122" s="2" t="s">
        <v>128</v>
      </c>
      <c r="B122" s="2" t="s">
        <v>159</v>
      </c>
      <c r="C122" s="2" t="s">
        <v>336</v>
      </c>
      <c r="D122" s="2" t="s">
        <v>345</v>
      </c>
      <c r="E122" s="22">
        <v>44358</v>
      </c>
      <c r="F122" s="22" t="str">
        <f t="shared" si="1"/>
        <v>44358</v>
      </c>
      <c r="G122" s="22">
        <v>44358</v>
      </c>
      <c r="H122" s="20">
        <v>42841</v>
      </c>
      <c r="I122" s="17">
        <v>3</v>
      </c>
      <c r="J122" s="2" t="s">
        <v>181</v>
      </c>
      <c r="K122" s="2" t="s">
        <v>200</v>
      </c>
    </row>
    <row r="123" spans="1:11" x14ac:dyDescent="0.35">
      <c r="A123" s="2" t="s">
        <v>129</v>
      </c>
      <c r="B123" s="2" t="s">
        <v>178</v>
      </c>
      <c r="C123" s="2" t="s">
        <v>169</v>
      </c>
      <c r="D123" s="2" t="s">
        <v>342</v>
      </c>
      <c r="E123" s="22" t="s">
        <v>177</v>
      </c>
      <c r="F123" s="22" t="str">
        <f t="shared" si="1"/>
        <v>0</v>
      </c>
      <c r="G123" s="22">
        <v>66158</v>
      </c>
      <c r="H123" s="20" t="s">
        <v>178</v>
      </c>
      <c r="I123" s="17">
        <v>5</v>
      </c>
      <c r="J123" s="2" t="s">
        <v>178</v>
      </c>
      <c r="K123" s="2" t="s">
        <v>268</v>
      </c>
    </row>
    <row r="124" spans="1:11" x14ac:dyDescent="0.35">
      <c r="A124" s="2" t="s">
        <v>130</v>
      </c>
      <c r="B124" s="2" t="s">
        <v>164</v>
      </c>
      <c r="C124" s="2" t="s">
        <v>336</v>
      </c>
      <c r="D124" s="2" t="s">
        <v>342</v>
      </c>
      <c r="E124" s="22">
        <v>45676</v>
      </c>
      <c r="F124" s="22" t="str">
        <f t="shared" si="1"/>
        <v>45676</v>
      </c>
      <c r="G124" s="22">
        <v>45676</v>
      </c>
      <c r="H124" s="20">
        <v>42855</v>
      </c>
      <c r="I124" s="17">
        <v>2</v>
      </c>
      <c r="J124" s="2" t="s">
        <v>178</v>
      </c>
      <c r="K124" s="2" t="s">
        <v>269</v>
      </c>
    </row>
    <row r="125" spans="1:11" x14ac:dyDescent="0.35">
      <c r="A125" s="2" t="s">
        <v>131</v>
      </c>
      <c r="B125" s="2" t="s">
        <v>165</v>
      </c>
      <c r="C125" s="2" t="s">
        <v>336</v>
      </c>
      <c r="D125" s="2" t="s">
        <v>341</v>
      </c>
      <c r="E125" s="22">
        <v>52036</v>
      </c>
      <c r="F125" s="22" t="str">
        <f t="shared" si="1"/>
        <v>52036</v>
      </c>
      <c r="G125" s="22">
        <v>52036</v>
      </c>
      <c r="H125" s="20">
        <v>42862</v>
      </c>
      <c r="I125" s="17">
        <v>3</v>
      </c>
      <c r="J125" s="2" t="s">
        <v>180</v>
      </c>
      <c r="K125" s="2" t="s">
        <v>270</v>
      </c>
    </row>
    <row r="126" spans="1:11" x14ac:dyDescent="0.35">
      <c r="A126" s="2" t="s">
        <v>132</v>
      </c>
      <c r="B126" s="2" t="s">
        <v>162</v>
      </c>
      <c r="C126" s="2" t="s">
        <v>338</v>
      </c>
      <c r="D126" s="2" t="s">
        <v>341</v>
      </c>
      <c r="E126" s="22">
        <v>30357</v>
      </c>
      <c r="F126" s="22" t="str">
        <f t="shared" si="1"/>
        <v>30357</v>
      </c>
      <c r="G126" s="22">
        <v>30357</v>
      </c>
      <c r="H126" s="20">
        <v>42869</v>
      </c>
      <c r="I126" s="17">
        <v>5</v>
      </c>
      <c r="J126" s="2" t="s">
        <v>180</v>
      </c>
      <c r="K126" s="2" t="s">
        <v>248</v>
      </c>
    </row>
    <row r="127" spans="1:11" x14ac:dyDescent="0.35">
      <c r="A127" s="2" t="s">
        <v>133</v>
      </c>
      <c r="B127" s="2" t="s">
        <v>161</v>
      </c>
      <c r="C127" s="2" t="s">
        <v>169</v>
      </c>
      <c r="D127" s="2" t="s">
        <v>340</v>
      </c>
      <c r="E127" s="22">
        <v>60034</v>
      </c>
      <c r="F127" s="22" t="str">
        <f t="shared" si="1"/>
        <v>60034</v>
      </c>
      <c r="G127" s="22">
        <v>60034</v>
      </c>
      <c r="H127" s="20">
        <v>42876</v>
      </c>
      <c r="I127" s="17">
        <v>1</v>
      </c>
      <c r="J127" s="2" t="s">
        <v>181</v>
      </c>
      <c r="K127" s="2" t="s">
        <v>271</v>
      </c>
    </row>
    <row r="128" spans="1:11" x14ac:dyDescent="0.35">
      <c r="A128" s="2" t="s">
        <v>134</v>
      </c>
      <c r="B128" s="2" t="s">
        <v>161</v>
      </c>
      <c r="C128" s="2" t="s">
        <v>335</v>
      </c>
      <c r="D128" s="2" t="s">
        <v>340</v>
      </c>
      <c r="E128" s="22">
        <v>90019</v>
      </c>
      <c r="F128" s="22" t="str">
        <f t="shared" si="1"/>
        <v>90019</v>
      </c>
      <c r="G128" s="22">
        <v>90019</v>
      </c>
      <c r="H128" s="20">
        <v>42883</v>
      </c>
      <c r="I128" s="17">
        <v>5</v>
      </c>
      <c r="J128" s="2" t="s">
        <v>178</v>
      </c>
      <c r="K128" s="2" t="s">
        <v>272</v>
      </c>
    </row>
    <row r="129" spans="1:11" x14ac:dyDescent="0.35">
      <c r="A129" s="2" t="s">
        <v>135</v>
      </c>
      <c r="B129" s="2" t="s">
        <v>165</v>
      </c>
      <c r="C129" s="2" t="s">
        <v>338</v>
      </c>
      <c r="D129" s="2" t="s">
        <v>341</v>
      </c>
      <c r="E129" s="22">
        <v>71494</v>
      </c>
      <c r="F129" s="22" t="str">
        <f t="shared" si="1"/>
        <v>71494</v>
      </c>
      <c r="G129" s="22">
        <v>71494</v>
      </c>
      <c r="H129" s="20">
        <v>42890</v>
      </c>
      <c r="I129" s="17">
        <v>3</v>
      </c>
      <c r="J129" s="2" t="s">
        <v>180</v>
      </c>
      <c r="K129" s="2" t="s">
        <v>273</v>
      </c>
    </row>
    <row r="130" spans="1:11" x14ac:dyDescent="0.35">
      <c r="A130" s="2" t="s">
        <v>136</v>
      </c>
      <c r="B130" s="2" t="s">
        <v>161</v>
      </c>
      <c r="C130" s="2" t="s">
        <v>335</v>
      </c>
      <c r="D130" s="2" t="s">
        <v>342</v>
      </c>
      <c r="E130" s="22">
        <v>91953</v>
      </c>
      <c r="F130" s="22" t="str">
        <f t="shared" si="1"/>
        <v>91953</v>
      </c>
      <c r="G130" s="22">
        <v>91953</v>
      </c>
      <c r="H130" s="20">
        <v>42897</v>
      </c>
      <c r="I130" s="17">
        <v>2</v>
      </c>
      <c r="J130" s="2" t="s">
        <v>180</v>
      </c>
      <c r="K130" s="2" t="s">
        <v>209</v>
      </c>
    </row>
    <row r="131" spans="1:11" x14ac:dyDescent="0.35">
      <c r="A131" s="2" t="s">
        <v>137</v>
      </c>
      <c r="B131" s="2" t="s">
        <v>164</v>
      </c>
      <c r="C131" s="2" t="s">
        <v>336</v>
      </c>
      <c r="D131" s="2" t="s">
        <v>342</v>
      </c>
      <c r="E131" s="22">
        <v>30402</v>
      </c>
      <c r="F131" s="22" t="str">
        <f t="shared" si="1"/>
        <v>30402</v>
      </c>
      <c r="G131" s="22">
        <v>30402</v>
      </c>
      <c r="H131" s="20">
        <v>42904</v>
      </c>
      <c r="I131" s="17">
        <v>1</v>
      </c>
      <c r="J131" s="2" t="s">
        <v>178</v>
      </c>
      <c r="K131" s="2" t="s">
        <v>274</v>
      </c>
    </row>
    <row r="132" spans="1:11" x14ac:dyDescent="0.35">
      <c r="A132" s="2" t="s">
        <v>138</v>
      </c>
      <c r="B132" s="2" t="s">
        <v>165</v>
      </c>
      <c r="C132" s="2" t="s">
        <v>338</v>
      </c>
      <c r="D132" s="2" t="s">
        <v>344</v>
      </c>
      <c r="E132" s="22">
        <v>62994</v>
      </c>
      <c r="F132" s="22" t="str">
        <f t="shared" ref="F132:F152" si="2">SUBSTITUTE(E132,"N/A","0")</f>
        <v>62994</v>
      </c>
      <c r="G132" s="22">
        <v>62994</v>
      </c>
      <c r="H132" s="20">
        <v>42911</v>
      </c>
      <c r="I132" s="17">
        <v>3</v>
      </c>
      <c r="J132" s="2" t="s">
        <v>178</v>
      </c>
      <c r="K132" s="2" t="s">
        <v>221</v>
      </c>
    </row>
    <row r="133" spans="1:11" x14ac:dyDescent="0.35">
      <c r="A133" s="2" t="s">
        <v>139</v>
      </c>
      <c r="B133" s="2" t="s">
        <v>160</v>
      </c>
      <c r="C133" s="2" t="s">
        <v>336</v>
      </c>
      <c r="D133" s="2" t="s">
        <v>343</v>
      </c>
      <c r="E133" s="22">
        <v>48289</v>
      </c>
      <c r="F133" s="22" t="str">
        <f t="shared" si="2"/>
        <v>48289</v>
      </c>
      <c r="G133" s="22">
        <v>48289</v>
      </c>
      <c r="H133" s="20" t="s">
        <v>178</v>
      </c>
      <c r="I133" s="17">
        <v>3</v>
      </c>
      <c r="J133" s="2" t="s">
        <v>180</v>
      </c>
      <c r="K133" s="2" t="s">
        <v>189</v>
      </c>
    </row>
    <row r="134" spans="1:11" x14ac:dyDescent="0.35">
      <c r="A134" s="2" t="s">
        <v>140</v>
      </c>
      <c r="B134" s="2" t="s">
        <v>163</v>
      </c>
      <c r="C134" s="2" t="s">
        <v>337</v>
      </c>
      <c r="D134" s="2" t="s">
        <v>341</v>
      </c>
      <c r="E134" s="22">
        <v>34402</v>
      </c>
      <c r="F134" s="22" t="str">
        <f t="shared" si="2"/>
        <v>34402</v>
      </c>
      <c r="G134" s="22">
        <v>34402</v>
      </c>
      <c r="H134" s="20">
        <v>42925</v>
      </c>
      <c r="I134" s="17">
        <v>3</v>
      </c>
      <c r="J134" s="2" t="s">
        <v>179</v>
      </c>
      <c r="K134" s="2" t="s">
        <v>218</v>
      </c>
    </row>
    <row r="135" spans="1:11" x14ac:dyDescent="0.35">
      <c r="A135" s="2" t="s">
        <v>141</v>
      </c>
      <c r="B135" s="2" t="s">
        <v>159</v>
      </c>
      <c r="C135" s="2" t="s">
        <v>167</v>
      </c>
      <c r="D135" s="2" t="s">
        <v>342</v>
      </c>
      <c r="E135" s="22">
        <v>38678</v>
      </c>
      <c r="F135" s="22" t="str">
        <f t="shared" si="2"/>
        <v>38678</v>
      </c>
      <c r="G135" s="22">
        <v>38678</v>
      </c>
      <c r="H135" s="20">
        <v>42932</v>
      </c>
      <c r="I135" s="17">
        <v>3</v>
      </c>
      <c r="J135" s="2" t="s">
        <v>179</v>
      </c>
      <c r="K135" s="2" t="s">
        <v>275</v>
      </c>
    </row>
    <row r="136" spans="1:11" x14ac:dyDescent="0.35">
      <c r="A136" s="2" t="s">
        <v>142</v>
      </c>
      <c r="B136" s="2" t="s">
        <v>164</v>
      </c>
      <c r="C136" s="2" t="s">
        <v>167</v>
      </c>
      <c r="D136" s="2" t="s">
        <v>341</v>
      </c>
      <c r="E136" s="22">
        <v>45758</v>
      </c>
      <c r="F136" s="22" t="str">
        <f t="shared" si="2"/>
        <v>45758</v>
      </c>
      <c r="G136" s="22">
        <v>45758</v>
      </c>
      <c r="H136" s="20">
        <v>42939</v>
      </c>
      <c r="I136" s="17">
        <v>3</v>
      </c>
      <c r="J136" s="2" t="s">
        <v>178</v>
      </c>
      <c r="K136" s="2" t="s">
        <v>264</v>
      </c>
    </row>
    <row r="137" spans="1:11" x14ac:dyDescent="0.35">
      <c r="A137" s="2" t="s">
        <v>143</v>
      </c>
      <c r="B137" s="2" t="s">
        <v>159</v>
      </c>
      <c r="C137" s="2" t="s">
        <v>337</v>
      </c>
      <c r="D137" s="2" t="s">
        <v>343</v>
      </c>
      <c r="E137" s="22">
        <v>62476</v>
      </c>
      <c r="F137" s="22" t="str">
        <f t="shared" si="2"/>
        <v>62476</v>
      </c>
      <c r="G137" s="22">
        <v>62476</v>
      </c>
      <c r="H137" s="20">
        <v>42946</v>
      </c>
      <c r="I137" s="17">
        <v>1</v>
      </c>
      <c r="J137" s="2" t="s">
        <v>179</v>
      </c>
      <c r="K137" s="2" t="s">
        <v>231</v>
      </c>
    </row>
    <row r="138" spans="1:11" x14ac:dyDescent="0.35">
      <c r="A138" s="2" t="s">
        <v>144</v>
      </c>
      <c r="B138" s="2" t="s">
        <v>178</v>
      </c>
      <c r="C138" s="2" t="s">
        <v>169</v>
      </c>
      <c r="D138" s="2" t="s">
        <v>344</v>
      </c>
      <c r="E138" s="22">
        <v>39280</v>
      </c>
      <c r="F138" s="22" t="str">
        <f t="shared" si="2"/>
        <v>39280</v>
      </c>
      <c r="G138" s="22">
        <v>39280</v>
      </c>
      <c r="H138" s="20">
        <v>42953</v>
      </c>
      <c r="I138" s="17">
        <v>3</v>
      </c>
      <c r="J138" s="2" t="s">
        <v>181</v>
      </c>
      <c r="K138" s="2" t="s">
        <v>214</v>
      </c>
    </row>
    <row r="139" spans="1:11" x14ac:dyDescent="0.35">
      <c r="A139" s="2" t="s">
        <v>145</v>
      </c>
      <c r="B139" s="2" t="s">
        <v>162</v>
      </c>
      <c r="C139" s="2" t="s">
        <v>335</v>
      </c>
      <c r="D139" s="2" t="s">
        <v>343</v>
      </c>
      <c r="E139" s="22">
        <v>60335</v>
      </c>
      <c r="F139" s="22" t="str">
        <f t="shared" si="2"/>
        <v>60335</v>
      </c>
      <c r="G139" s="22">
        <v>60335</v>
      </c>
      <c r="H139" s="20">
        <v>42960</v>
      </c>
      <c r="I139" s="17">
        <v>4</v>
      </c>
      <c r="J139" s="2" t="s">
        <v>179</v>
      </c>
      <c r="K139" s="2" t="s">
        <v>227</v>
      </c>
    </row>
    <row r="140" spans="1:11" x14ac:dyDescent="0.35">
      <c r="A140" s="2" t="s">
        <v>146</v>
      </c>
      <c r="B140" s="2" t="s">
        <v>164</v>
      </c>
      <c r="C140" s="2" t="s">
        <v>167</v>
      </c>
      <c r="D140" s="2" t="s">
        <v>341</v>
      </c>
      <c r="E140" s="22">
        <v>84968</v>
      </c>
      <c r="F140" s="22" t="str">
        <f t="shared" si="2"/>
        <v>84968</v>
      </c>
      <c r="G140" s="22">
        <v>84968</v>
      </c>
      <c r="H140" s="20">
        <v>42967</v>
      </c>
      <c r="I140" s="17">
        <v>3</v>
      </c>
      <c r="J140" s="2" t="s">
        <v>178</v>
      </c>
      <c r="K140" s="2" t="s">
        <v>276</v>
      </c>
    </row>
    <row r="141" spans="1:11" x14ac:dyDescent="0.35">
      <c r="A141" s="2" t="s">
        <v>147</v>
      </c>
      <c r="B141" s="2" t="s">
        <v>164</v>
      </c>
      <c r="C141" s="2" t="s">
        <v>337</v>
      </c>
      <c r="D141" s="2" t="s">
        <v>345</v>
      </c>
      <c r="E141" s="22">
        <v>84750</v>
      </c>
      <c r="F141" s="22" t="str">
        <f t="shared" si="2"/>
        <v>84750</v>
      </c>
      <c r="G141" s="22">
        <v>84750</v>
      </c>
      <c r="H141" s="20">
        <v>42974</v>
      </c>
      <c r="I141" s="17">
        <v>4</v>
      </c>
      <c r="J141" s="2" t="s">
        <v>181</v>
      </c>
      <c r="K141" s="2" t="s">
        <v>195</v>
      </c>
    </row>
    <row r="142" spans="1:11" x14ac:dyDescent="0.35">
      <c r="A142" s="2" t="s">
        <v>148</v>
      </c>
      <c r="B142" s="2" t="s">
        <v>165</v>
      </c>
      <c r="C142" s="2" t="s">
        <v>169</v>
      </c>
      <c r="D142" s="2" t="s">
        <v>340</v>
      </c>
      <c r="E142" s="22">
        <v>73348</v>
      </c>
      <c r="F142" s="22" t="str">
        <f t="shared" si="2"/>
        <v>73348</v>
      </c>
      <c r="G142" s="22">
        <v>73348</v>
      </c>
      <c r="H142" s="20">
        <v>42981</v>
      </c>
      <c r="I142" s="17">
        <v>2</v>
      </c>
      <c r="J142" s="2" t="s">
        <v>178</v>
      </c>
      <c r="K142" s="2" t="s">
        <v>243</v>
      </c>
    </row>
    <row r="143" spans="1:11" x14ac:dyDescent="0.35">
      <c r="A143" s="2" t="s">
        <v>149</v>
      </c>
      <c r="B143" s="2" t="s">
        <v>164</v>
      </c>
      <c r="C143" s="2" t="s">
        <v>336</v>
      </c>
      <c r="D143" s="2" t="s">
        <v>342</v>
      </c>
      <c r="E143" s="22" t="s">
        <v>177</v>
      </c>
      <c r="F143" s="22" t="str">
        <f t="shared" si="2"/>
        <v>0</v>
      </c>
      <c r="G143" s="22">
        <v>67929</v>
      </c>
      <c r="H143" s="20">
        <v>42988</v>
      </c>
      <c r="I143" s="17">
        <v>4</v>
      </c>
      <c r="J143" s="2" t="s">
        <v>179</v>
      </c>
      <c r="K143" s="2" t="s">
        <v>182</v>
      </c>
    </row>
    <row r="144" spans="1:11" x14ac:dyDescent="0.35">
      <c r="A144" s="2" t="s">
        <v>150</v>
      </c>
      <c r="B144" s="2" t="s">
        <v>162</v>
      </c>
      <c r="C144" s="2" t="s">
        <v>337</v>
      </c>
      <c r="D144" s="2" t="s">
        <v>342</v>
      </c>
      <c r="E144" s="22">
        <v>66882</v>
      </c>
      <c r="F144" s="22" t="str">
        <f t="shared" si="2"/>
        <v>66882</v>
      </c>
      <c r="G144" s="22">
        <v>66882</v>
      </c>
      <c r="H144" s="20">
        <v>42995</v>
      </c>
      <c r="I144" s="17">
        <v>5</v>
      </c>
      <c r="J144" s="2" t="s">
        <v>179</v>
      </c>
      <c r="K144" s="2" t="s">
        <v>207</v>
      </c>
    </row>
    <row r="145" spans="1:11" x14ac:dyDescent="0.35">
      <c r="A145" s="2" t="s">
        <v>151</v>
      </c>
      <c r="B145" s="2" t="s">
        <v>160</v>
      </c>
      <c r="C145" s="2" t="s">
        <v>337</v>
      </c>
      <c r="D145" s="2" t="s">
        <v>340</v>
      </c>
      <c r="E145" s="22">
        <v>86775</v>
      </c>
      <c r="F145" s="22" t="str">
        <f t="shared" si="2"/>
        <v>86775</v>
      </c>
      <c r="G145" s="22">
        <v>86775</v>
      </c>
      <c r="H145" s="20">
        <v>43002</v>
      </c>
      <c r="I145" s="17">
        <v>3</v>
      </c>
      <c r="J145" s="2" t="s">
        <v>179</v>
      </c>
      <c r="K145" s="2" t="s">
        <v>212</v>
      </c>
    </row>
    <row r="146" spans="1:11" x14ac:dyDescent="0.35">
      <c r="A146" s="2" t="s">
        <v>152</v>
      </c>
      <c r="B146" s="2" t="s">
        <v>164</v>
      </c>
      <c r="C146" s="2" t="s">
        <v>336</v>
      </c>
      <c r="D146" s="2" t="s">
        <v>344</v>
      </c>
      <c r="E146" s="22">
        <v>91620</v>
      </c>
      <c r="F146" s="22" t="str">
        <f t="shared" si="2"/>
        <v>91620</v>
      </c>
      <c r="G146" s="22">
        <v>91620</v>
      </c>
      <c r="H146" s="20">
        <v>43009</v>
      </c>
      <c r="I146" s="17">
        <v>3</v>
      </c>
      <c r="J146" s="2" t="s">
        <v>178</v>
      </c>
      <c r="K146" s="2" t="s">
        <v>277</v>
      </c>
    </row>
    <row r="147" spans="1:11" x14ac:dyDescent="0.35">
      <c r="A147" s="2" t="s">
        <v>153</v>
      </c>
      <c r="B147" s="2" t="s">
        <v>159</v>
      </c>
      <c r="C147" s="2" t="s">
        <v>338</v>
      </c>
      <c r="D147" s="2" t="s">
        <v>340</v>
      </c>
      <c r="E147" s="22">
        <v>94148</v>
      </c>
      <c r="F147" s="22" t="str">
        <f t="shared" si="2"/>
        <v>94148</v>
      </c>
      <c r="G147" s="22">
        <v>94148</v>
      </c>
      <c r="H147" s="20">
        <v>43016</v>
      </c>
      <c r="I147" s="17">
        <v>2</v>
      </c>
      <c r="J147" s="2" t="s">
        <v>178</v>
      </c>
      <c r="K147" s="2" t="s">
        <v>278</v>
      </c>
    </row>
    <row r="148" spans="1:11" x14ac:dyDescent="0.35">
      <c r="A148" s="2" t="s">
        <v>154</v>
      </c>
      <c r="B148" s="2" t="s">
        <v>163</v>
      </c>
      <c r="C148" s="2" t="s">
        <v>336</v>
      </c>
      <c r="D148" s="2" t="s">
        <v>345</v>
      </c>
      <c r="E148" s="22">
        <v>35627</v>
      </c>
      <c r="F148" s="22" t="str">
        <f t="shared" si="2"/>
        <v>35627</v>
      </c>
      <c r="G148" s="22">
        <v>35627</v>
      </c>
      <c r="H148" s="20">
        <v>43023</v>
      </c>
      <c r="I148" s="17">
        <v>5</v>
      </c>
      <c r="J148" s="2" t="s">
        <v>181</v>
      </c>
      <c r="K148" s="2" t="s">
        <v>275</v>
      </c>
    </row>
    <row r="149" spans="1:11" x14ac:dyDescent="0.35">
      <c r="A149" s="2" t="s">
        <v>155</v>
      </c>
      <c r="B149" s="2" t="s">
        <v>161</v>
      </c>
      <c r="C149" s="2" t="s">
        <v>337</v>
      </c>
      <c r="D149" s="2" t="s">
        <v>342</v>
      </c>
      <c r="E149" s="22">
        <v>57141</v>
      </c>
      <c r="F149" s="22" t="str">
        <f t="shared" si="2"/>
        <v>57141</v>
      </c>
      <c r="G149" s="22">
        <v>57141</v>
      </c>
      <c r="H149" s="20">
        <v>43030</v>
      </c>
      <c r="I149" s="17">
        <v>2</v>
      </c>
      <c r="J149" s="2" t="s">
        <v>178</v>
      </c>
      <c r="K149" s="2" t="s">
        <v>276</v>
      </c>
    </row>
    <row r="150" spans="1:11" x14ac:dyDescent="0.35">
      <c r="A150" s="2" t="s">
        <v>156</v>
      </c>
      <c r="B150" s="2" t="s">
        <v>165</v>
      </c>
      <c r="C150" s="2" t="s">
        <v>336</v>
      </c>
      <c r="D150" s="2" t="s">
        <v>345</v>
      </c>
      <c r="E150" s="22">
        <v>65270</v>
      </c>
      <c r="F150" s="22" t="str">
        <f t="shared" si="2"/>
        <v>65270</v>
      </c>
      <c r="G150" s="22">
        <v>65270</v>
      </c>
      <c r="H150" s="20">
        <v>43037</v>
      </c>
      <c r="I150" s="17">
        <v>1</v>
      </c>
      <c r="J150" s="2" t="s">
        <v>178</v>
      </c>
      <c r="K150" s="2" t="s">
        <v>279</v>
      </c>
    </row>
    <row r="151" spans="1:11" x14ac:dyDescent="0.35">
      <c r="A151" s="2" t="s">
        <v>157</v>
      </c>
      <c r="B151" s="2" t="s">
        <v>165</v>
      </c>
      <c r="C151" s="2" t="s">
        <v>338</v>
      </c>
      <c r="D151" s="2" t="s">
        <v>344</v>
      </c>
      <c r="E151" s="22">
        <v>67335</v>
      </c>
      <c r="F151" s="22" t="str">
        <f t="shared" si="2"/>
        <v>67335</v>
      </c>
      <c r="G151" s="22">
        <v>67335</v>
      </c>
      <c r="H151" s="20">
        <v>43044</v>
      </c>
      <c r="I151" s="17">
        <v>1</v>
      </c>
      <c r="J151" s="2" t="s">
        <v>179</v>
      </c>
      <c r="K151" s="2" t="s">
        <v>233</v>
      </c>
    </row>
    <row r="152" spans="1:11" x14ac:dyDescent="0.35">
      <c r="A152" s="2" t="s">
        <v>158</v>
      </c>
      <c r="B152" s="2" t="s">
        <v>163</v>
      </c>
      <c r="C152" s="2" t="s">
        <v>337</v>
      </c>
      <c r="D152" s="2" t="s">
        <v>343</v>
      </c>
      <c r="E152" s="22">
        <v>98475</v>
      </c>
      <c r="F152" s="22" t="str">
        <f t="shared" si="2"/>
        <v>98475</v>
      </c>
      <c r="G152" s="22">
        <v>98475</v>
      </c>
      <c r="H152" s="20">
        <v>43051</v>
      </c>
      <c r="I152" s="17">
        <v>5</v>
      </c>
      <c r="J152" s="2" t="s">
        <v>179</v>
      </c>
      <c r="K152" s="2" t="s">
        <v>280</v>
      </c>
    </row>
    <row r="153" spans="1:11" x14ac:dyDescent="0.35">
      <c r="H153" s="21"/>
    </row>
    <row r="154" spans="1:11" x14ac:dyDescent="0.35">
      <c r="A154" s="64" t="s">
        <v>314</v>
      </c>
      <c r="B154" s="64"/>
      <c r="C154" s="64"/>
      <c r="D154" s="64"/>
      <c r="F154" s="64" t="s">
        <v>350</v>
      </c>
      <c r="G154" s="64"/>
      <c r="H154" s="64" t="s">
        <v>350</v>
      </c>
      <c r="I154" s="64"/>
    </row>
    <row r="155" spans="1:11" x14ac:dyDescent="0.35">
      <c r="A155" s="66" t="s">
        <v>4</v>
      </c>
      <c r="B155" s="67"/>
      <c r="C155" s="68" t="s">
        <v>328</v>
      </c>
      <c r="D155" s="69"/>
      <c r="F155" s="65" t="s">
        <v>4</v>
      </c>
      <c r="G155" s="65"/>
      <c r="H155" s="2" t="s">
        <v>178</v>
      </c>
      <c r="I155" s="2">
        <f>COUNTIF($J$3:$J$152,J3)</f>
        <v>49</v>
      </c>
    </row>
    <row r="156" spans="1:11" x14ac:dyDescent="0.35">
      <c r="A156" s="17" t="s">
        <v>316</v>
      </c>
      <c r="B156" s="17">
        <f>AVERAGE(G3:G152)</f>
        <v>66240.566666666666</v>
      </c>
      <c r="C156" s="19" t="s">
        <v>316</v>
      </c>
      <c r="D156" s="17">
        <f>AVERAGE(I3:I152)</f>
        <v>2.8933333333333335</v>
      </c>
      <c r="F156" s="2" t="s">
        <v>347</v>
      </c>
      <c r="G156" s="17">
        <f>COUNTIF(G3:G152,"&gt;10000")</f>
        <v>150</v>
      </c>
      <c r="H156" s="2" t="s">
        <v>179</v>
      </c>
      <c r="I156" s="2">
        <f>COUNTIF($J$3:$J$152,J4)</f>
        <v>35</v>
      </c>
    </row>
    <row r="157" spans="1:11" x14ac:dyDescent="0.35">
      <c r="A157" s="17" t="s">
        <v>323</v>
      </c>
      <c r="B157" s="17">
        <v>69341</v>
      </c>
      <c r="C157" s="19" t="s">
        <v>323</v>
      </c>
      <c r="D157" s="17">
        <v>69341</v>
      </c>
      <c r="F157" s="2" t="s">
        <v>348</v>
      </c>
      <c r="G157" s="17">
        <f>COUNTIF(G3:G152,"&gt;50000")</f>
        <v>109</v>
      </c>
      <c r="H157" s="2" t="s">
        <v>180</v>
      </c>
      <c r="I157" s="2">
        <f>COUNTIF($J$3:$J$152,J5)</f>
        <v>49</v>
      </c>
    </row>
    <row r="158" spans="1:11" x14ac:dyDescent="0.35">
      <c r="A158" s="17" t="s">
        <v>324</v>
      </c>
      <c r="B158" s="17">
        <f>MIN(G3:G152)</f>
        <v>30280</v>
      </c>
      <c r="C158" s="19" t="s">
        <v>324</v>
      </c>
      <c r="D158" s="17">
        <f>MIN(I3:I152)</f>
        <v>1</v>
      </c>
      <c r="F158" s="65" t="s">
        <v>351</v>
      </c>
      <c r="G158" s="65"/>
      <c r="H158" s="2" t="s">
        <v>181</v>
      </c>
      <c r="I158" s="2">
        <f>COUNTIF($J$3:$J$152,J6)</f>
        <v>32</v>
      </c>
    </row>
    <row r="159" spans="1:11" x14ac:dyDescent="0.35">
      <c r="A159" s="17" t="s">
        <v>325</v>
      </c>
      <c r="B159" s="17">
        <f>MAX(G3:G152)</f>
        <v>99621</v>
      </c>
      <c r="C159" s="19" t="s">
        <v>325</v>
      </c>
      <c r="D159" s="17">
        <f>MAX(I3:I152)</f>
        <v>5</v>
      </c>
      <c r="E159" s="1"/>
      <c r="F159" s="2" t="s">
        <v>349</v>
      </c>
      <c r="G159" s="17">
        <f>COUNTIF(I3:I152,"&gt;3")</f>
        <v>42</v>
      </c>
      <c r="H159" s="11"/>
      <c r="I159" s="1"/>
    </row>
    <row r="160" spans="1:11" x14ac:dyDescent="0.35">
      <c r="A160" s="17" t="s">
        <v>326</v>
      </c>
      <c r="B160" s="17">
        <f>SUM(G3:G152)</f>
        <v>9936085</v>
      </c>
      <c r="C160" s="19" t="s">
        <v>326</v>
      </c>
      <c r="D160" s="17">
        <f>SUM(I3:I152)</f>
        <v>434</v>
      </c>
      <c r="E160" s="1"/>
      <c r="F160" s="1"/>
      <c r="G160" s="1"/>
      <c r="H160" s="1"/>
    </row>
    <row r="161" spans="1:12" x14ac:dyDescent="0.35">
      <c r="A161" s="17" t="s">
        <v>327</v>
      </c>
      <c r="B161" s="17">
        <f>COUNT(G3:G152)</f>
        <v>150</v>
      </c>
      <c r="C161" s="19" t="s">
        <v>327</v>
      </c>
      <c r="D161" s="17">
        <f>COUNT(I3:I152)</f>
        <v>150</v>
      </c>
      <c r="E161" s="1"/>
      <c r="F161" s="1"/>
      <c r="G161" s="1"/>
      <c r="H161" s="1"/>
    </row>
    <row r="163" spans="1:12" ht="72.5" x14ac:dyDescent="0.35">
      <c r="A163" s="30" t="s">
        <v>330</v>
      </c>
      <c r="B163" s="18" t="s">
        <v>311</v>
      </c>
      <c r="C163" s="18" t="s">
        <v>334</v>
      </c>
      <c r="D163" s="18" t="s">
        <v>339</v>
      </c>
      <c r="E163" s="17"/>
      <c r="F163" s="18" t="s">
        <v>302</v>
      </c>
      <c r="G163" s="18" t="s">
        <v>303</v>
      </c>
      <c r="H163" s="19" t="s">
        <v>306</v>
      </c>
      <c r="I163" s="18" t="s">
        <v>307</v>
      </c>
      <c r="J163" s="19" t="s">
        <v>390</v>
      </c>
      <c r="K163" s="19" t="s">
        <v>352</v>
      </c>
    </row>
    <row r="164" spans="1:12" ht="55.5" x14ac:dyDescent="0.35">
      <c r="A164" s="9" t="s">
        <v>0</v>
      </c>
      <c r="B164" s="9" t="s">
        <v>402</v>
      </c>
      <c r="C164" s="10" t="s">
        <v>403</v>
      </c>
      <c r="D164" s="9" t="s">
        <v>310</v>
      </c>
      <c r="E164" s="9" t="s">
        <v>4</v>
      </c>
      <c r="F164" s="10" t="s">
        <v>304</v>
      </c>
      <c r="G164" s="10" t="s">
        <v>305</v>
      </c>
      <c r="H164" s="9" t="s">
        <v>404</v>
      </c>
      <c r="I164" s="10" t="s">
        <v>6</v>
      </c>
      <c r="J164" s="10" t="s">
        <v>309</v>
      </c>
      <c r="K164" s="9" t="s">
        <v>8</v>
      </c>
      <c r="L164" s="30" t="s">
        <v>312</v>
      </c>
    </row>
  </sheetData>
  <mergeCells count="7">
    <mergeCell ref="A154:D154"/>
    <mergeCell ref="F158:G158"/>
    <mergeCell ref="F154:G154"/>
    <mergeCell ref="F155:G155"/>
    <mergeCell ref="H154:I154"/>
    <mergeCell ref="A155:B155"/>
    <mergeCell ref="C155:D1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7631-4A2F-4641-A922-0F8912E518CA}">
  <dimension ref="A2:O278"/>
  <sheetViews>
    <sheetView topLeftCell="A228" workbookViewId="0">
      <selection activeCell="I164" sqref="I164"/>
    </sheetView>
  </sheetViews>
  <sheetFormatPr defaultColWidth="9.1796875" defaultRowHeight="14.5" x14ac:dyDescent="0.35"/>
  <cols>
    <col min="1" max="1" width="15.54296875" style="6" bestFit="1" customWidth="1"/>
    <col min="2" max="2" width="19.54296875" style="6" bestFit="1" customWidth="1"/>
    <col min="3" max="3" width="25.1796875" style="6" bestFit="1" customWidth="1"/>
    <col min="4" max="4" width="22" style="6" customWidth="1"/>
    <col min="5" max="5" width="8.1796875" style="6" bestFit="1" customWidth="1"/>
    <col min="6" max="6" width="18.1796875" style="6" bestFit="1" customWidth="1"/>
    <col min="7" max="7" width="22.54296875" style="6" bestFit="1" customWidth="1"/>
    <col min="8" max="8" width="23.81640625" style="6" bestFit="1" customWidth="1"/>
    <col min="9" max="9" width="19.26953125" style="6" bestFit="1" customWidth="1"/>
    <col min="10" max="10" width="16.54296875" style="6" bestFit="1" customWidth="1"/>
    <col min="11" max="11" width="22.1796875" style="6" bestFit="1" customWidth="1"/>
    <col min="12" max="12" width="22.7265625" style="6" bestFit="1" customWidth="1"/>
    <col min="13" max="13" width="15.26953125" style="6" bestFit="1" customWidth="1"/>
    <col min="14" max="14" width="22.453125" style="6" customWidth="1"/>
    <col min="15" max="15" width="22.26953125" style="6" customWidth="1"/>
    <col min="16" max="16384" width="9.1796875" style="6"/>
  </cols>
  <sheetData>
    <row r="2" spans="1:15" ht="37" x14ac:dyDescent="0.35">
      <c r="A2" s="9" t="s">
        <v>0</v>
      </c>
      <c r="B2" s="9" t="s">
        <v>402</v>
      </c>
      <c r="C2" s="10" t="s">
        <v>403</v>
      </c>
      <c r="D2" s="9" t="s">
        <v>310</v>
      </c>
      <c r="E2" s="9" t="s">
        <v>4</v>
      </c>
      <c r="F2" s="10" t="s">
        <v>304</v>
      </c>
      <c r="G2" s="10" t="s">
        <v>305</v>
      </c>
      <c r="H2" s="9" t="s">
        <v>428</v>
      </c>
      <c r="I2" s="10" t="s">
        <v>6</v>
      </c>
      <c r="J2" s="10" t="s">
        <v>309</v>
      </c>
      <c r="K2" s="16" t="s">
        <v>8</v>
      </c>
      <c r="L2" s="9" t="s">
        <v>392</v>
      </c>
      <c r="M2" s="29" t="s">
        <v>401</v>
      </c>
      <c r="N2" s="9" t="s">
        <v>8</v>
      </c>
      <c r="O2" s="9" t="s">
        <v>409</v>
      </c>
    </row>
    <row r="3" spans="1:15" x14ac:dyDescent="0.35">
      <c r="A3" s="19" t="s">
        <v>9</v>
      </c>
      <c r="B3" s="19" t="s">
        <v>178</v>
      </c>
      <c r="C3" s="19" t="s">
        <v>335</v>
      </c>
      <c r="D3" s="19" t="s">
        <v>340</v>
      </c>
      <c r="E3" s="19" t="s">
        <v>177</v>
      </c>
      <c r="F3" s="22" t="str">
        <f t="shared" ref="F3:F34" si="0">SUBSTITUTE(E3,"N/A","0")</f>
        <v>0</v>
      </c>
      <c r="G3" s="19">
        <v>65605</v>
      </c>
      <c r="H3" s="20" t="s">
        <v>178</v>
      </c>
      <c r="I3" s="19">
        <v>2</v>
      </c>
      <c r="J3" s="19" t="s">
        <v>178</v>
      </c>
      <c r="K3" s="19" t="s">
        <v>182</v>
      </c>
      <c r="L3" s="19">
        <v>1000</v>
      </c>
      <c r="M3" s="28">
        <f ca="1">IF(H3="Unknown",0,DATEDIF(H3, TODAY(), "MD"))</f>
        <v>0</v>
      </c>
      <c r="N3" s="34" t="s">
        <v>340</v>
      </c>
      <c r="O3" s="19" t="str" cm="1">
        <f t="array" ref="O3">IF(N3="unknown",INDEX($N$3:$N$152,MODE(MATCH($N$3:$N$152,$N$3:$N$152,0))),N3)</f>
        <v>unknown</v>
      </c>
    </row>
    <row r="4" spans="1:15" x14ac:dyDescent="0.35">
      <c r="A4" s="19" t="s">
        <v>10</v>
      </c>
      <c r="B4" s="19" t="s">
        <v>159</v>
      </c>
      <c r="C4" s="19" t="s">
        <v>167</v>
      </c>
      <c r="D4" s="19" t="s">
        <v>341</v>
      </c>
      <c r="E4" s="19">
        <v>54255</v>
      </c>
      <c r="F4" s="22" t="str">
        <f t="shared" si="0"/>
        <v>54255</v>
      </c>
      <c r="G4" s="19">
        <v>54255</v>
      </c>
      <c r="H4" s="20">
        <v>42015</v>
      </c>
      <c r="I4" s="19">
        <v>1</v>
      </c>
      <c r="J4" s="19" t="s">
        <v>179</v>
      </c>
      <c r="K4" s="19" t="s">
        <v>183</v>
      </c>
      <c r="L4" s="19">
        <v>1001</v>
      </c>
      <c r="M4" s="28">
        <f ca="1">IF(H4="Unknown",0,DATEDIF(H4, TODAY(), "MD"))</f>
        <v>13</v>
      </c>
      <c r="N4" s="34" t="s">
        <v>183</v>
      </c>
      <c r="O4" s="19" t="str" cm="1">
        <f t="array" ref="O4">IF(N4="unknown",INDEX($N$3:$N$152,MODE(MATCH($N$3:$N$152,$N$3:$N$152,0))),N4)</f>
        <v>user106@example.com</v>
      </c>
    </row>
    <row r="5" spans="1:15" x14ac:dyDescent="0.35">
      <c r="A5" s="19" t="s">
        <v>11</v>
      </c>
      <c r="B5" s="19" t="s">
        <v>160</v>
      </c>
      <c r="C5" s="19" t="s">
        <v>335</v>
      </c>
      <c r="D5" s="19" t="s">
        <v>341</v>
      </c>
      <c r="E5" s="19">
        <v>63184</v>
      </c>
      <c r="F5" s="22" t="str">
        <f t="shared" si="0"/>
        <v>63184</v>
      </c>
      <c r="G5" s="19">
        <v>63184</v>
      </c>
      <c r="H5" s="20">
        <v>42022</v>
      </c>
      <c r="I5" s="19">
        <v>2</v>
      </c>
      <c r="J5" s="19" t="s">
        <v>178</v>
      </c>
      <c r="K5" s="19" t="s">
        <v>184</v>
      </c>
      <c r="L5" s="19">
        <v>1002</v>
      </c>
      <c r="M5" s="28">
        <f t="shared" ref="M5:M68" ca="1" si="1">IF(H5="Unknown",0,DATEDIF(H5, TODAY(), "MD"))</f>
        <v>6</v>
      </c>
      <c r="N5" s="34" t="s">
        <v>184</v>
      </c>
      <c r="O5" s="19" t="str" cm="1">
        <f t="array" ref="O5">IF(N5="unknown",INDEX($N$3:$N$152,MODE(MATCH($N$3:$N$152,$N$3:$N$152,0))),N5)</f>
        <v>user176@example.com</v>
      </c>
    </row>
    <row r="6" spans="1:15" x14ac:dyDescent="0.35">
      <c r="A6" s="19" t="s">
        <v>12</v>
      </c>
      <c r="B6" s="19" t="s">
        <v>161</v>
      </c>
      <c r="C6" s="19" t="s">
        <v>336</v>
      </c>
      <c r="D6" s="19" t="s">
        <v>342</v>
      </c>
      <c r="E6" s="19">
        <v>94406</v>
      </c>
      <c r="F6" s="22" t="str">
        <f t="shared" si="0"/>
        <v>94406</v>
      </c>
      <c r="G6" s="19">
        <v>94406</v>
      </c>
      <c r="H6" s="20">
        <v>42029</v>
      </c>
      <c r="I6" s="19">
        <v>1</v>
      </c>
      <c r="J6" s="19" t="s">
        <v>180</v>
      </c>
      <c r="K6" s="19" t="s">
        <v>185</v>
      </c>
      <c r="L6" s="19">
        <v>1003</v>
      </c>
      <c r="M6" s="28">
        <f t="shared" ca="1" si="1"/>
        <v>30</v>
      </c>
      <c r="N6" s="34" t="s">
        <v>185</v>
      </c>
      <c r="O6" s="19" t="str" cm="1">
        <f t="array" ref="O6">IF(N6="unknown",INDEX($N$3:$N$152,MODE(MATCH($N$3:$N$152,$N$3:$N$152,0))),N6)</f>
        <v>user168@example.com</v>
      </c>
    </row>
    <row r="7" spans="1:15" x14ac:dyDescent="0.35">
      <c r="A7" s="19" t="s">
        <v>13</v>
      </c>
      <c r="B7" s="19" t="s">
        <v>162</v>
      </c>
      <c r="C7" s="19" t="s">
        <v>336</v>
      </c>
      <c r="D7" s="19" t="s">
        <v>341</v>
      </c>
      <c r="E7" s="19">
        <v>64120</v>
      </c>
      <c r="F7" s="22" t="str">
        <f t="shared" si="0"/>
        <v>64120</v>
      </c>
      <c r="G7" s="19">
        <v>64120</v>
      </c>
      <c r="H7" s="20">
        <v>42036</v>
      </c>
      <c r="I7" s="19">
        <v>1</v>
      </c>
      <c r="J7" s="19" t="s">
        <v>180</v>
      </c>
      <c r="K7" s="19" t="s">
        <v>186</v>
      </c>
      <c r="L7" s="19">
        <v>1004</v>
      </c>
      <c r="M7" s="28">
        <f t="shared" ca="1" si="1"/>
        <v>23</v>
      </c>
      <c r="N7" s="34" t="s">
        <v>186</v>
      </c>
      <c r="O7" s="19" t="str" cm="1">
        <f t="array" ref="O7">IF(N7="unknown",INDEX($N$3:$N$152,MODE(MATCH($N$3:$N$152,$N$3:$N$152,0))),N7)</f>
        <v>user49@example.com</v>
      </c>
    </row>
    <row r="8" spans="1:15" x14ac:dyDescent="0.35">
      <c r="A8" s="19" t="s">
        <v>14</v>
      </c>
      <c r="B8" s="19" t="s">
        <v>160</v>
      </c>
      <c r="C8" s="19" t="s">
        <v>169</v>
      </c>
      <c r="D8" s="19" t="s">
        <v>343</v>
      </c>
      <c r="E8" s="19">
        <v>78421</v>
      </c>
      <c r="F8" s="22" t="str">
        <f t="shared" si="0"/>
        <v>78421</v>
      </c>
      <c r="G8" s="19">
        <v>78421</v>
      </c>
      <c r="H8" s="20">
        <v>42043</v>
      </c>
      <c r="I8" s="19">
        <v>2</v>
      </c>
      <c r="J8" s="19" t="s">
        <v>181</v>
      </c>
      <c r="K8" s="19" t="s">
        <v>187</v>
      </c>
      <c r="L8" s="19">
        <v>1005</v>
      </c>
      <c r="M8" s="28">
        <f t="shared" ca="1" si="1"/>
        <v>16</v>
      </c>
      <c r="N8" s="34" t="s">
        <v>187</v>
      </c>
      <c r="O8" s="19" t="str" cm="1">
        <f t="array" ref="O8">IF(N8="unknown",INDEX($N$3:$N$152,MODE(MATCH($N$3:$N$152,$N$3:$N$152,0))),N8)</f>
        <v>user24@example.com</v>
      </c>
    </row>
    <row r="9" spans="1:15" x14ac:dyDescent="0.35">
      <c r="A9" s="19" t="s">
        <v>15</v>
      </c>
      <c r="B9" s="19" t="s">
        <v>163</v>
      </c>
      <c r="C9" s="19" t="s">
        <v>336</v>
      </c>
      <c r="D9" s="19" t="s">
        <v>340</v>
      </c>
      <c r="E9" s="19">
        <v>67721</v>
      </c>
      <c r="F9" s="22" t="str">
        <f t="shared" si="0"/>
        <v>67721</v>
      </c>
      <c r="G9" s="19">
        <v>67721</v>
      </c>
      <c r="H9" s="20">
        <v>42050</v>
      </c>
      <c r="I9" s="19">
        <v>3</v>
      </c>
      <c r="J9" s="19" t="s">
        <v>180</v>
      </c>
      <c r="K9" s="19" t="s">
        <v>185</v>
      </c>
      <c r="L9" s="19">
        <v>1006</v>
      </c>
      <c r="M9" s="28">
        <f t="shared" ca="1" si="1"/>
        <v>9</v>
      </c>
      <c r="N9" s="34" t="s">
        <v>185</v>
      </c>
      <c r="O9" s="19" t="str" cm="1">
        <f t="array" ref="O9">IF(N9="unknown",INDEX($N$3:$N$152,MODE(MATCH($N$3:$N$152,$N$3:$N$152,0))),N9)</f>
        <v>user168@example.com</v>
      </c>
    </row>
    <row r="10" spans="1:15" x14ac:dyDescent="0.35">
      <c r="A10" s="19" t="s">
        <v>16</v>
      </c>
      <c r="B10" s="19" t="s">
        <v>164</v>
      </c>
      <c r="C10" s="19" t="s">
        <v>337</v>
      </c>
      <c r="D10" s="19" t="s">
        <v>340</v>
      </c>
      <c r="E10" s="19">
        <v>35364</v>
      </c>
      <c r="F10" s="22" t="str">
        <f t="shared" si="0"/>
        <v>35364</v>
      </c>
      <c r="G10" s="19">
        <v>35364</v>
      </c>
      <c r="H10" s="20">
        <v>42057</v>
      </c>
      <c r="I10" s="19">
        <v>2</v>
      </c>
      <c r="J10" s="19" t="s">
        <v>179</v>
      </c>
      <c r="K10" s="19" t="s">
        <v>188</v>
      </c>
      <c r="L10" s="19">
        <v>1007</v>
      </c>
      <c r="M10" s="28">
        <f t="shared" ca="1" si="1"/>
        <v>2</v>
      </c>
      <c r="N10" s="34" t="s">
        <v>188</v>
      </c>
      <c r="O10" s="19" t="str" cm="1">
        <f t="array" ref="O10">IF(N10="unknown",INDEX($N$3:$N$152,MODE(MATCH($N$3:$N$152,$N$3:$N$152,0))),N10)</f>
        <v>user26@example.com</v>
      </c>
    </row>
    <row r="11" spans="1:15" x14ac:dyDescent="0.35">
      <c r="A11" s="19" t="s">
        <v>17</v>
      </c>
      <c r="B11" s="19" t="s">
        <v>160</v>
      </c>
      <c r="C11" s="19" t="s">
        <v>169</v>
      </c>
      <c r="D11" s="19" t="s">
        <v>341</v>
      </c>
      <c r="E11" s="19">
        <v>97881</v>
      </c>
      <c r="F11" s="22" t="str">
        <f t="shared" si="0"/>
        <v>97881</v>
      </c>
      <c r="G11" s="19">
        <v>97881</v>
      </c>
      <c r="H11" s="20">
        <v>42064</v>
      </c>
      <c r="I11" s="19">
        <v>3</v>
      </c>
      <c r="J11" s="19" t="s">
        <v>181</v>
      </c>
      <c r="K11" s="19" t="s">
        <v>189</v>
      </c>
      <c r="L11" s="19">
        <v>1008</v>
      </c>
      <c r="M11" s="28">
        <f t="shared" ca="1" si="1"/>
        <v>23</v>
      </c>
      <c r="N11" s="34" t="s">
        <v>189</v>
      </c>
      <c r="O11" s="19" t="str" cm="1">
        <f t="array" ref="O11">IF(N11="unknown",INDEX($N$3:$N$152,MODE(MATCH($N$3:$N$152,$N$3:$N$152,0))),N11)</f>
        <v>user25@example.com</v>
      </c>
    </row>
    <row r="12" spans="1:15" x14ac:dyDescent="0.35">
      <c r="A12" s="19" t="s">
        <v>18</v>
      </c>
      <c r="B12" s="19" t="s">
        <v>164</v>
      </c>
      <c r="C12" s="19" t="s">
        <v>167</v>
      </c>
      <c r="D12" s="19" t="s">
        <v>344</v>
      </c>
      <c r="E12" s="19">
        <v>91846</v>
      </c>
      <c r="F12" s="22" t="str">
        <f t="shared" si="0"/>
        <v>91846</v>
      </c>
      <c r="G12" s="19">
        <v>91846</v>
      </c>
      <c r="H12" s="20">
        <v>42071</v>
      </c>
      <c r="I12" s="19">
        <v>3</v>
      </c>
      <c r="J12" s="19" t="s">
        <v>180</v>
      </c>
      <c r="K12" s="19" t="s">
        <v>190</v>
      </c>
      <c r="L12" s="19">
        <v>1009</v>
      </c>
      <c r="M12" s="28">
        <f t="shared" ca="1" si="1"/>
        <v>16</v>
      </c>
      <c r="N12" s="34" t="s">
        <v>190</v>
      </c>
      <c r="O12" s="19" t="str" cm="1">
        <f t="array" ref="O12">IF(N12="unknown",INDEX($N$3:$N$152,MODE(MATCH($N$3:$N$152,$N$3:$N$152,0))),N12)</f>
        <v>user153@example.com</v>
      </c>
    </row>
    <row r="13" spans="1:15" x14ac:dyDescent="0.35">
      <c r="A13" s="19" t="s">
        <v>19</v>
      </c>
      <c r="B13" s="19" t="s">
        <v>163</v>
      </c>
      <c r="C13" s="19" t="s">
        <v>335</v>
      </c>
      <c r="D13" s="19" t="s">
        <v>344</v>
      </c>
      <c r="E13" s="19">
        <v>64247</v>
      </c>
      <c r="F13" s="22" t="str">
        <f t="shared" si="0"/>
        <v>64247</v>
      </c>
      <c r="G13" s="19">
        <v>64247</v>
      </c>
      <c r="H13" s="20">
        <v>42078</v>
      </c>
      <c r="I13" s="19">
        <v>1</v>
      </c>
      <c r="J13" s="19" t="s">
        <v>181</v>
      </c>
      <c r="K13" s="19" t="s">
        <v>191</v>
      </c>
      <c r="L13" s="19">
        <v>1010</v>
      </c>
      <c r="M13" s="28">
        <f t="shared" ca="1" si="1"/>
        <v>9</v>
      </c>
      <c r="N13" s="34" t="s">
        <v>191</v>
      </c>
      <c r="O13" s="19" t="str" cm="1">
        <f t="array" ref="O13">IF(N13="unknown",INDEX($N$3:$N$152,MODE(MATCH($N$3:$N$152,$N$3:$N$152,0))),N13)</f>
        <v>user18@example.com</v>
      </c>
    </row>
    <row r="14" spans="1:15" x14ac:dyDescent="0.35">
      <c r="A14" s="19" t="s">
        <v>20</v>
      </c>
      <c r="B14" s="19" t="s">
        <v>163</v>
      </c>
      <c r="C14" s="19" t="s">
        <v>169</v>
      </c>
      <c r="D14" s="19" t="s">
        <v>342</v>
      </c>
      <c r="E14" s="19">
        <v>91180</v>
      </c>
      <c r="F14" s="22" t="str">
        <f t="shared" si="0"/>
        <v>91180</v>
      </c>
      <c r="G14" s="19">
        <v>91180</v>
      </c>
      <c r="H14" s="20">
        <v>42085</v>
      </c>
      <c r="I14" s="19">
        <v>5</v>
      </c>
      <c r="J14" s="19" t="s">
        <v>180</v>
      </c>
      <c r="K14" s="19" t="s">
        <v>192</v>
      </c>
      <c r="L14" s="19">
        <v>1011</v>
      </c>
      <c r="M14" s="28">
        <f t="shared" ca="1" si="1"/>
        <v>2</v>
      </c>
      <c r="N14" s="34" t="s">
        <v>192</v>
      </c>
      <c r="O14" s="19" t="str" cm="1">
        <f t="array" ref="O14">IF(N14="unknown",INDEX($N$3:$N$152,MODE(MATCH($N$3:$N$152,$N$3:$N$152,0))),N14)</f>
        <v>user1@example.com</v>
      </c>
    </row>
    <row r="15" spans="1:15" x14ac:dyDescent="0.35">
      <c r="A15" s="19" t="s">
        <v>21</v>
      </c>
      <c r="B15" s="19" t="s">
        <v>165</v>
      </c>
      <c r="C15" s="19" t="s">
        <v>336</v>
      </c>
      <c r="D15" s="19" t="s">
        <v>340</v>
      </c>
      <c r="E15" s="19">
        <v>96418</v>
      </c>
      <c r="F15" s="22" t="str">
        <f t="shared" si="0"/>
        <v>96418</v>
      </c>
      <c r="G15" s="19">
        <v>96418</v>
      </c>
      <c r="H15" s="20">
        <v>42092</v>
      </c>
      <c r="I15" s="19">
        <v>5</v>
      </c>
      <c r="J15" s="19" t="s">
        <v>180</v>
      </c>
      <c r="K15" s="19" t="s">
        <v>183</v>
      </c>
      <c r="L15" s="19">
        <v>1012</v>
      </c>
      <c r="M15" s="28">
        <f t="shared" ca="1" si="1"/>
        <v>26</v>
      </c>
      <c r="N15" s="34" t="s">
        <v>183</v>
      </c>
      <c r="O15" s="19" t="str" cm="1">
        <f t="array" ref="O15">IF(N15="unknown",INDEX($N$3:$N$152,MODE(MATCH($N$3:$N$152,$N$3:$N$152,0))),N15)</f>
        <v>user106@example.com</v>
      </c>
    </row>
    <row r="16" spans="1:15" x14ac:dyDescent="0.35">
      <c r="A16" s="19" t="s">
        <v>22</v>
      </c>
      <c r="B16" s="19" t="s">
        <v>163</v>
      </c>
      <c r="C16" s="19" t="s">
        <v>338</v>
      </c>
      <c r="D16" s="19" t="s">
        <v>343</v>
      </c>
      <c r="E16" s="19">
        <v>62158</v>
      </c>
      <c r="F16" s="22" t="str">
        <f t="shared" si="0"/>
        <v>62158</v>
      </c>
      <c r="G16" s="19">
        <v>62158</v>
      </c>
      <c r="H16" s="20">
        <v>42099</v>
      </c>
      <c r="I16" s="19">
        <v>4</v>
      </c>
      <c r="J16" s="19" t="s">
        <v>178</v>
      </c>
      <c r="K16" s="19" t="s">
        <v>193</v>
      </c>
      <c r="L16" s="19">
        <v>1013</v>
      </c>
      <c r="M16" s="28">
        <f t="shared" ca="1" si="1"/>
        <v>19</v>
      </c>
      <c r="N16" s="34" t="s">
        <v>193</v>
      </c>
      <c r="O16" s="19" t="str" cm="1">
        <f t="array" ref="O16">IF(N16="unknown",INDEX($N$3:$N$152,MODE(MATCH($N$3:$N$152,$N$3:$N$152,0))),N16)</f>
        <v>user180@example.com</v>
      </c>
    </row>
    <row r="17" spans="1:15" x14ac:dyDescent="0.35">
      <c r="A17" s="19" t="s">
        <v>23</v>
      </c>
      <c r="B17" s="19" t="s">
        <v>162</v>
      </c>
      <c r="C17" s="19" t="s">
        <v>167</v>
      </c>
      <c r="D17" s="19" t="s">
        <v>340</v>
      </c>
      <c r="E17" s="19">
        <v>59894</v>
      </c>
      <c r="F17" s="22" t="str">
        <f t="shared" si="0"/>
        <v>59894</v>
      </c>
      <c r="G17" s="19">
        <v>59894</v>
      </c>
      <c r="H17" s="20">
        <v>42106</v>
      </c>
      <c r="I17" s="19">
        <v>2</v>
      </c>
      <c r="J17" s="19" t="s">
        <v>180</v>
      </c>
      <c r="K17" s="19" t="s">
        <v>194</v>
      </c>
      <c r="L17" s="19">
        <v>1014</v>
      </c>
      <c r="M17" s="28">
        <f t="shared" ca="1" si="1"/>
        <v>12</v>
      </c>
      <c r="N17" s="34" t="s">
        <v>194</v>
      </c>
      <c r="O17" s="19" t="str" cm="1">
        <f t="array" ref="O17">IF(N17="unknown",INDEX($N$3:$N$152,MODE(MATCH($N$3:$N$152,$N$3:$N$152,0))),N17)</f>
        <v>user184@example.com</v>
      </c>
    </row>
    <row r="18" spans="1:15" x14ac:dyDescent="0.35">
      <c r="A18" s="19" t="s">
        <v>24</v>
      </c>
      <c r="B18" s="19" t="s">
        <v>178</v>
      </c>
      <c r="C18" s="19" t="s">
        <v>169</v>
      </c>
      <c r="D18" s="19" t="s">
        <v>343</v>
      </c>
      <c r="E18" s="19">
        <v>92443</v>
      </c>
      <c r="F18" s="22" t="str">
        <f t="shared" si="0"/>
        <v>92443</v>
      </c>
      <c r="G18" s="19">
        <v>92443</v>
      </c>
      <c r="H18" s="20">
        <v>42113</v>
      </c>
      <c r="I18" s="19">
        <v>3</v>
      </c>
      <c r="J18" s="19" t="s">
        <v>179</v>
      </c>
      <c r="K18" s="19" t="s">
        <v>195</v>
      </c>
      <c r="L18" s="19">
        <v>1015</v>
      </c>
      <c r="M18" s="28">
        <f t="shared" ca="1" si="1"/>
        <v>5</v>
      </c>
      <c r="N18" s="34" t="s">
        <v>195</v>
      </c>
      <c r="O18" s="19" t="str" cm="1">
        <f t="array" ref="O18">IF(N18="unknown",INDEX($N$3:$N$152,MODE(MATCH($N$3:$N$152,$N$3:$N$152,0))),N18)</f>
        <v>user3@example.com</v>
      </c>
    </row>
    <row r="19" spans="1:15" x14ac:dyDescent="0.35">
      <c r="A19" s="19" t="s">
        <v>25</v>
      </c>
      <c r="B19" s="19" t="s">
        <v>165</v>
      </c>
      <c r="C19" s="19" t="s">
        <v>338</v>
      </c>
      <c r="D19" s="19" t="s">
        <v>341</v>
      </c>
      <c r="E19" s="19">
        <v>90271</v>
      </c>
      <c r="F19" s="22" t="str">
        <f t="shared" si="0"/>
        <v>90271</v>
      </c>
      <c r="G19" s="19">
        <v>90271</v>
      </c>
      <c r="H19" s="20">
        <v>42120</v>
      </c>
      <c r="I19" s="19">
        <v>3</v>
      </c>
      <c r="J19" s="19" t="s">
        <v>178</v>
      </c>
      <c r="K19" s="19" t="s">
        <v>196</v>
      </c>
      <c r="L19" s="19">
        <v>1016</v>
      </c>
      <c r="M19" s="28">
        <f t="shared" ca="1" si="1"/>
        <v>29</v>
      </c>
      <c r="N19" s="34" t="s">
        <v>196</v>
      </c>
      <c r="O19" s="19" t="str" cm="1">
        <f t="array" ref="O19">IF(N19="unknown",INDEX($N$3:$N$152,MODE(MATCH($N$3:$N$152,$N$3:$N$152,0))),N19)</f>
        <v>user64@example.com</v>
      </c>
    </row>
    <row r="20" spans="1:15" x14ac:dyDescent="0.35">
      <c r="A20" s="19" t="s">
        <v>26</v>
      </c>
      <c r="B20" s="19" t="s">
        <v>162</v>
      </c>
      <c r="C20" s="19" t="s">
        <v>335</v>
      </c>
      <c r="D20" s="19" t="s">
        <v>345</v>
      </c>
      <c r="E20" s="19">
        <v>41341</v>
      </c>
      <c r="F20" s="22" t="str">
        <f t="shared" si="0"/>
        <v>41341</v>
      </c>
      <c r="G20" s="19">
        <v>41341</v>
      </c>
      <c r="H20" s="20">
        <v>42127</v>
      </c>
      <c r="I20" s="19">
        <v>1</v>
      </c>
      <c r="J20" s="19" t="s">
        <v>179</v>
      </c>
      <c r="K20" s="19" t="s">
        <v>197</v>
      </c>
      <c r="L20" s="19">
        <v>1017</v>
      </c>
      <c r="M20" s="28">
        <f t="shared" ca="1" si="1"/>
        <v>21</v>
      </c>
      <c r="N20" s="34" t="s">
        <v>197</v>
      </c>
      <c r="O20" s="19" t="str" cm="1">
        <f t="array" ref="O20">IF(N20="unknown",INDEX($N$3:$N$152,MODE(MATCH($N$3:$N$152,$N$3:$N$152,0))),N20)</f>
        <v>user38@example.com</v>
      </c>
    </row>
    <row r="21" spans="1:15" x14ac:dyDescent="0.35">
      <c r="A21" s="19" t="s">
        <v>27</v>
      </c>
      <c r="B21" s="19" t="s">
        <v>160</v>
      </c>
      <c r="C21" s="19" t="s">
        <v>335</v>
      </c>
      <c r="D21" s="19" t="s">
        <v>344</v>
      </c>
      <c r="E21" s="19">
        <v>73602</v>
      </c>
      <c r="F21" s="22" t="str">
        <f t="shared" si="0"/>
        <v>73602</v>
      </c>
      <c r="G21" s="19">
        <v>73602</v>
      </c>
      <c r="H21" s="20">
        <v>42134</v>
      </c>
      <c r="I21" s="19">
        <v>3</v>
      </c>
      <c r="J21" s="19" t="s">
        <v>178</v>
      </c>
      <c r="K21" s="19" t="s">
        <v>198</v>
      </c>
      <c r="L21" s="19">
        <v>1018</v>
      </c>
      <c r="M21" s="28">
        <f t="shared" ca="1" si="1"/>
        <v>14</v>
      </c>
      <c r="N21" s="34" t="s">
        <v>198</v>
      </c>
      <c r="O21" s="19" t="str" cm="1">
        <f t="array" ref="O21">IF(N21="unknown",INDEX($N$3:$N$152,MODE(MATCH($N$3:$N$152,$N$3:$N$152,0))),N21)</f>
        <v>user96@example.com</v>
      </c>
    </row>
    <row r="22" spans="1:15" x14ac:dyDescent="0.35">
      <c r="A22" s="19" t="s">
        <v>28</v>
      </c>
      <c r="B22" s="19" t="s">
        <v>159</v>
      </c>
      <c r="C22" s="19" t="s">
        <v>338</v>
      </c>
      <c r="D22" s="19" t="s">
        <v>343</v>
      </c>
      <c r="E22" s="19">
        <v>67531</v>
      </c>
      <c r="F22" s="22" t="str">
        <f t="shared" si="0"/>
        <v>67531</v>
      </c>
      <c r="G22" s="19">
        <v>67531</v>
      </c>
      <c r="H22" s="20">
        <v>42141</v>
      </c>
      <c r="I22" s="19">
        <v>5</v>
      </c>
      <c r="J22" s="19" t="s">
        <v>181</v>
      </c>
      <c r="K22" s="19" t="s">
        <v>199</v>
      </c>
      <c r="L22" s="19">
        <v>1019</v>
      </c>
      <c r="M22" s="28">
        <f t="shared" ca="1" si="1"/>
        <v>7</v>
      </c>
      <c r="N22" s="34" t="s">
        <v>199</v>
      </c>
      <c r="O22" s="19" t="str" cm="1">
        <f t="array" ref="O22">IF(N22="unknown",INDEX($N$3:$N$152,MODE(MATCH($N$3:$N$152,$N$3:$N$152,0))),N22)</f>
        <v>user151@example.com</v>
      </c>
    </row>
    <row r="23" spans="1:15" x14ac:dyDescent="0.35">
      <c r="A23" s="19" t="s">
        <v>29</v>
      </c>
      <c r="B23" s="19" t="s">
        <v>162</v>
      </c>
      <c r="C23" s="19" t="s">
        <v>167</v>
      </c>
      <c r="D23" s="19" t="s">
        <v>342</v>
      </c>
      <c r="E23" s="19" t="s">
        <v>177</v>
      </c>
      <c r="F23" s="22" t="str">
        <f t="shared" si="0"/>
        <v>0</v>
      </c>
      <c r="G23" s="19">
        <v>67835</v>
      </c>
      <c r="H23" s="20">
        <v>42148</v>
      </c>
      <c r="I23" s="19">
        <v>2</v>
      </c>
      <c r="J23" s="19" t="s">
        <v>179</v>
      </c>
      <c r="K23" s="19" t="s">
        <v>200</v>
      </c>
      <c r="L23" s="19">
        <v>1020</v>
      </c>
      <c r="M23" s="28">
        <f t="shared" ca="1" si="1"/>
        <v>0</v>
      </c>
      <c r="N23" s="34" t="s">
        <v>200</v>
      </c>
      <c r="O23" s="19" t="str" cm="1">
        <f t="array" ref="O23">IF(N23="unknown",INDEX($N$3:$N$152,MODE(MATCH($N$3:$N$152,$N$3:$N$152,0))),N23)</f>
        <v>user200@example.com</v>
      </c>
    </row>
    <row r="24" spans="1:15" x14ac:dyDescent="0.35">
      <c r="A24" s="19" t="s">
        <v>30</v>
      </c>
      <c r="B24" s="19" t="s">
        <v>162</v>
      </c>
      <c r="C24" s="19" t="s">
        <v>167</v>
      </c>
      <c r="D24" s="19" t="s">
        <v>340</v>
      </c>
      <c r="E24" s="19">
        <v>98922</v>
      </c>
      <c r="F24" s="22" t="str">
        <f t="shared" si="0"/>
        <v>98922</v>
      </c>
      <c r="G24" s="19">
        <v>98922</v>
      </c>
      <c r="H24" s="20">
        <v>42155</v>
      </c>
      <c r="I24" s="19">
        <v>4</v>
      </c>
      <c r="J24" s="19" t="s">
        <v>178</v>
      </c>
      <c r="K24" s="19" t="s">
        <v>201</v>
      </c>
      <c r="L24" s="19">
        <v>1021</v>
      </c>
      <c r="M24" s="28">
        <f t="shared" ca="1" si="1"/>
        <v>24</v>
      </c>
      <c r="N24" s="34" t="s">
        <v>201</v>
      </c>
      <c r="O24" s="19" t="str" cm="1">
        <f t="array" ref="O24">IF(N24="unknown",INDEX($N$3:$N$152,MODE(MATCH($N$3:$N$152,$N$3:$N$152,0))),N24)</f>
        <v>user77@example.com</v>
      </c>
    </row>
    <row r="25" spans="1:15" x14ac:dyDescent="0.35">
      <c r="A25" s="19" t="s">
        <v>31</v>
      </c>
      <c r="B25" s="19" t="s">
        <v>159</v>
      </c>
      <c r="C25" s="19" t="s">
        <v>335</v>
      </c>
      <c r="D25" s="19" t="s">
        <v>343</v>
      </c>
      <c r="E25" s="19">
        <v>38333</v>
      </c>
      <c r="F25" s="22" t="str">
        <f t="shared" si="0"/>
        <v>38333</v>
      </c>
      <c r="G25" s="19">
        <v>38333</v>
      </c>
      <c r="H25" s="20">
        <v>42162</v>
      </c>
      <c r="I25" s="19">
        <v>5</v>
      </c>
      <c r="J25" s="19" t="s">
        <v>178</v>
      </c>
      <c r="K25" s="19" t="s">
        <v>202</v>
      </c>
      <c r="L25" s="19">
        <v>1022</v>
      </c>
      <c r="M25" s="28">
        <f t="shared" ca="1" si="1"/>
        <v>17</v>
      </c>
      <c r="N25" s="34" t="s">
        <v>202</v>
      </c>
      <c r="O25" s="19" t="str" cm="1">
        <f t="array" ref="O25">IF(N25="unknown",INDEX($N$3:$N$152,MODE(MATCH($N$3:$N$152,$N$3:$N$152,0))),N25)</f>
        <v>user128@example.com</v>
      </c>
    </row>
    <row r="26" spans="1:15" x14ac:dyDescent="0.35">
      <c r="A26" s="19" t="s">
        <v>32</v>
      </c>
      <c r="B26" s="19" t="s">
        <v>160</v>
      </c>
      <c r="C26" s="19" t="s">
        <v>337</v>
      </c>
      <c r="D26" s="19" t="s">
        <v>344</v>
      </c>
      <c r="E26" s="19">
        <v>36515</v>
      </c>
      <c r="F26" s="22" t="str">
        <f t="shared" si="0"/>
        <v>36515</v>
      </c>
      <c r="G26" s="19">
        <v>36515</v>
      </c>
      <c r="H26" s="20">
        <v>42169</v>
      </c>
      <c r="I26" s="19">
        <v>3</v>
      </c>
      <c r="J26" s="19" t="s">
        <v>180</v>
      </c>
      <c r="K26" s="19" t="s">
        <v>203</v>
      </c>
      <c r="L26" s="19">
        <v>1023</v>
      </c>
      <c r="M26" s="28">
        <f t="shared" ca="1" si="1"/>
        <v>10</v>
      </c>
      <c r="N26" s="34" t="s">
        <v>203</v>
      </c>
      <c r="O26" s="19" t="str" cm="1">
        <f t="array" ref="O26">IF(N26="unknown",INDEX($N$3:$N$152,MODE(MATCH($N$3:$N$152,$N$3:$N$152,0))),N26)</f>
        <v>user149@example.com</v>
      </c>
    </row>
    <row r="27" spans="1:15" x14ac:dyDescent="0.35">
      <c r="A27" s="19" t="s">
        <v>33</v>
      </c>
      <c r="B27" s="19" t="s">
        <v>163</v>
      </c>
      <c r="C27" s="19" t="s">
        <v>335</v>
      </c>
      <c r="D27" s="19" t="s">
        <v>340</v>
      </c>
      <c r="E27" s="19">
        <v>91005</v>
      </c>
      <c r="F27" s="22" t="str">
        <f t="shared" si="0"/>
        <v>91005</v>
      </c>
      <c r="G27" s="19">
        <v>91005</v>
      </c>
      <c r="H27" s="20">
        <v>42176</v>
      </c>
      <c r="I27" s="19">
        <v>1</v>
      </c>
      <c r="J27" s="19" t="s">
        <v>179</v>
      </c>
      <c r="K27" s="19" t="s">
        <v>204</v>
      </c>
      <c r="L27" s="19">
        <v>1024</v>
      </c>
      <c r="M27" s="28">
        <f t="shared" ca="1" si="1"/>
        <v>3</v>
      </c>
      <c r="N27" s="34" t="s">
        <v>204</v>
      </c>
      <c r="O27" s="19" t="str" cm="1">
        <f t="array" ref="O27">IF(N27="unknown",INDEX($N$3:$N$152,MODE(MATCH($N$3:$N$152,$N$3:$N$152,0))),N27)</f>
        <v>user122@example.com</v>
      </c>
    </row>
    <row r="28" spans="1:15" x14ac:dyDescent="0.35">
      <c r="A28" s="19" t="s">
        <v>34</v>
      </c>
      <c r="B28" s="19" t="s">
        <v>164</v>
      </c>
      <c r="C28" s="19" t="s">
        <v>338</v>
      </c>
      <c r="D28" s="19" t="s">
        <v>340</v>
      </c>
      <c r="E28" s="19">
        <v>52272</v>
      </c>
      <c r="F28" s="22" t="str">
        <f t="shared" si="0"/>
        <v>52272</v>
      </c>
      <c r="G28" s="19">
        <v>52272</v>
      </c>
      <c r="H28" s="20">
        <v>42183</v>
      </c>
      <c r="I28" s="19">
        <v>3</v>
      </c>
      <c r="J28" s="19" t="s">
        <v>178</v>
      </c>
      <c r="K28" s="19" t="s">
        <v>205</v>
      </c>
      <c r="L28" s="19">
        <v>1025</v>
      </c>
      <c r="M28" s="28">
        <f t="shared" ca="1" si="1"/>
        <v>27</v>
      </c>
      <c r="N28" s="34" t="s">
        <v>205</v>
      </c>
      <c r="O28" s="19" t="str" cm="1">
        <f t="array" ref="O28">IF(N28="unknown",INDEX($N$3:$N$152,MODE(MATCH($N$3:$N$152,$N$3:$N$152,0))),N28)</f>
        <v>user41@example.com</v>
      </c>
    </row>
    <row r="29" spans="1:15" x14ac:dyDescent="0.35">
      <c r="A29" s="19" t="s">
        <v>35</v>
      </c>
      <c r="B29" s="19" t="s">
        <v>159</v>
      </c>
      <c r="C29" s="19" t="s">
        <v>336</v>
      </c>
      <c r="D29" s="19" t="s">
        <v>341</v>
      </c>
      <c r="E29" s="19">
        <v>76518</v>
      </c>
      <c r="F29" s="22" t="str">
        <f t="shared" si="0"/>
        <v>76518</v>
      </c>
      <c r="G29" s="19">
        <v>76518</v>
      </c>
      <c r="H29" s="20">
        <v>42190</v>
      </c>
      <c r="I29" s="19">
        <v>2</v>
      </c>
      <c r="J29" s="19" t="s">
        <v>181</v>
      </c>
      <c r="K29" s="19" t="s">
        <v>206</v>
      </c>
      <c r="L29" s="19">
        <v>1026</v>
      </c>
      <c r="M29" s="28">
        <f t="shared" ca="1" si="1"/>
        <v>19</v>
      </c>
      <c r="N29" s="34" t="s">
        <v>206</v>
      </c>
      <c r="O29" s="19" t="str" cm="1">
        <f t="array" ref="O29">IF(N29="unknown",INDEX($N$3:$N$152,MODE(MATCH($N$3:$N$152,$N$3:$N$152,0))),N29)</f>
        <v>user68@example.com</v>
      </c>
    </row>
    <row r="30" spans="1:15" x14ac:dyDescent="0.35">
      <c r="A30" s="19" t="s">
        <v>36</v>
      </c>
      <c r="B30" s="19" t="s">
        <v>160</v>
      </c>
      <c r="C30" s="19" t="s">
        <v>169</v>
      </c>
      <c r="D30" s="19" t="s">
        <v>344</v>
      </c>
      <c r="E30" s="19">
        <v>41448</v>
      </c>
      <c r="F30" s="22" t="str">
        <f t="shared" si="0"/>
        <v>41448</v>
      </c>
      <c r="G30" s="19">
        <v>41448</v>
      </c>
      <c r="H30" s="20">
        <v>42197</v>
      </c>
      <c r="I30" s="19">
        <v>3</v>
      </c>
      <c r="J30" s="19" t="s">
        <v>179</v>
      </c>
      <c r="K30" s="19" t="s">
        <v>207</v>
      </c>
      <c r="L30" s="19">
        <v>1027</v>
      </c>
      <c r="M30" s="28">
        <f t="shared" ca="1" si="1"/>
        <v>12</v>
      </c>
      <c r="N30" s="34" t="s">
        <v>207</v>
      </c>
      <c r="O30" s="19" t="str" cm="1">
        <f t="array" ref="O30">IF(N30="unknown",INDEX($N$3:$N$152,MODE(MATCH($N$3:$N$152,$N$3:$N$152,0))),N30)</f>
        <v>user103@example.com</v>
      </c>
    </row>
    <row r="31" spans="1:15" x14ac:dyDescent="0.35">
      <c r="A31" s="19" t="s">
        <v>37</v>
      </c>
      <c r="B31" s="19" t="s">
        <v>161</v>
      </c>
      <c r="C31" s="19" t="s">
        <v>167</v>
      </c>
      <c r="D31" s="19" t="s">
        <v>344</v>
      </c>
      <c r="E31" s="19">
        <v>49282</v>
      </c>
      <c r="F31" s="22" t="str">
        <f t="shared" si="0"/>
        <v>49282</v>
      </c>
      <c r="G31" s="19">
        <v>49282</v>
      </c>
      <c r="H31" s="20">
        <v>42204</v>
      </c>
      <c r="I31" s="19">
        <v>2</v>
      </c>
      <c r="J31" s="19" t="s">
        <v>181</v>
      </c>
      <c r="K31" s="19" t="s">
        <v>208</v>
      </c>
      <c r="L31" s="19">
        <v>1028</v>
      </c>
      <c r="M31" s="28">
        <f t="shared" ca="1" si="1"/>
        <v>5</v>
      </c>
      <c r="N31" s="34" t="s">
        <v>208</v>
      </c>
      <c r="O31" s="19" t="str" cm="1">
        <f t="array" ref="O31">IF(N31="unknown",INDEX($N$3:$N$152,MODE(MATCH($N$3:$N$152,$N$3:$N$152,0))),N31)</f>
        <v>user135@example.com</v>
      </c>
    </row>
    <row r="32" spans="1:15" x14ac:dyDescent="0.35">
      <c r="A32" s="19" t="s">
        <v>38</v>
      </c>
      <c r="B32" s="19" t="s">
        <v>165</v>
      </c>
      <c r="C32" s="19" t="s">
        <v>337</v>
      </c>
      <c r="D32" s="19" t="s">
        <v>344</v>
      </c>
      <c r="E32" s="19">
        <v>92959</v>
      </c>
      <c r="F32" s="22" t="str">
        <f t="shared" si="0"/>
        <v>92959</v>
      </c>
      <c r="G32" s="19">
        <v>92959</v>
      </c>
      <c r="H32" s="20">
        <v>42211</v>
      </c>
      <c r="I32" s="19">
        <v>5</v>
      </c>
      <c r="J32" s="19" t="s">
        <v>178</v>
      </c>
      <c r="K32" s="19" t="s">
        <v>209</v>
      </c>
      <c r="L32" s="19">
        <v>1029</v>
      </c>
      <c r="M32" s="28">
        <f t="shared" ca="1" si="1"/>
        <v>29</v>
      </c>
      <c r="N32" s="34" t="s">
        <v>209</v>
      </c>
      <c r="O32" s="19" t="str" cm="1">
        <f t="array" ref="O32">IF(N32="unknown",INDEX($N$3:$N$152,MODE(MATCH($N$3:$N$152,$N$3:$N$152,0))),N32)</f>
        <v>user83@example.com</v>
      </c>
    </row>
    <row r="33" spans="1:15" x14ac:dyDescent="0.35">
      <c r="A33" s="19" t="s">
        <v>39</v>
      </c>
      <c r="B33" s="19" t="s">
        <v>178</v>
      </c>
      <c r="C33" s="19" t="s">
        <v>337</v>
      </c>
      <c r="D33" s="19" t="s">
        <v>340</v>
      </c>
      <c r="E33" s="19">
        <v>92259</v>
      </c>
      <c r="F33" s="22" t="str">
        <f t="shared" si="0"/>
        <v>92259</v>
      </c>
      <c r="G33" s="19">
        <v>92259</v>
      </c>
      <c r="H33" s="20" t="s">
        <v>178</v>
      </c>
      <c r="I33" s="19">
        <v>1</v>
      </c>
      <c r="J33" s="19" t="s">
        <v>178</v>
      </c>
      <c r="K33" s="19" t="s">
        <v>210</v>
      </c>
      <c r="L33" s="19">
        <v>1030</v>
      </c>
      <c r="M33" s="28">
        <f t="shared" ca="1" si="1"/>
        <v>0</v>
      </c>
      <c r="N33" s="34" t="s">
        <v>210</v>
      </c>
      <c r="O33" s="19" t="str" cm="1">
        <f t="array" ref="O33">IF(N33="unknown",INDEX($N$3:$N$152,MODE(MATCH($N$3:$N$152,$N$3:$N$152,0))),N33)</f>
        <v>user109@example.com</v>
      </c>
    </row>
    <row r="34" spans="1:15" x14ac:dyDescent="0.35">
      <c r="A34" s="19" t="s">
        <v>40</v>
      </c>
      <c r="B34" s="19" t="s">
        <v>159</v>
      </c>
      <c r="C34" s="19" t="s">
        <v>167</v>
      </c>
      <c r="D34" s="19" t="s">
        <v>341</v>
      </c>
      <c r="E34" s="19">
        <v>92299</v>
      </c>
      <c r="F34" s="22" t="str">
        <f t="shared" si="0"/>
        <v>92299</v>
      </c>
      <c r="G34" s="19">
        <v>92299</v>
      </c>
      <c r="H34" s="20">
        <v>42225</v>
      </c>
      <c r="I34" s="19">
        <v>3</v>
      </c>
      <c r="J34" s="19" t="s">
        <v>180</v>
      </c>
      <c r="K34" s="19" t="s">
        <v>211</v>
      </c>
      <c r="L34" s="19">
        <v>1031</v>
      </c>
      <c r="M34" s="28">
        <f t="shared" ca="1" si="1"/>
        <v>15</v>
      </c>
      <c r="N34" s="34" t="s">
        <v>211</v>
      </c>
      <c r="O34" s="19" t="str" cm="1">
        <f t="array" ref="O34">IF(N34="unknown",INDEX($N$3:$N$152,MODE(MATCH($N$3:$N$152,$N$3:$N$152,0))),N34)</f>
        <v>user143@example.com</v>
      </c>
    </row>
    <row r="35" spans="1:15" x14ac:dyDescent="0.35">
      <c r="A35" s="19" t="s">
        <v>41</v>
      </c>
      <c r="B35" s="19" t="s">
        <v>163</v>
      </c>
      <c r="C35" s="19" t="s">
        <v>167</v>
      </c>
      <c r="D35" s="19" t="s">
        <v>340</v>
      </c>
      <c r="E35" s="19">
        <v>95586</v>
      </c>
      <c r="F35" s="22" t="str">
        <f t="shared" ref="F35:F66" si="2">SUBSTITUTE(E35,"N/A","0")</f>
        <v>95586</v>
      </c>
      <c r="G35" s="19">
        <v>95586</v>
      </c>
      <c r="H35" s="20">
        <v>42232</v>
      </c>
      <c r="I35" s="19">
        <v>3</v>
      </c>
      <c r="J35" s="19" t="s">
        <v>179</v>
      </c>
      <c r="K35" s="19" t="s">
        <v>212</v>
      </c>
      <c r="L35" s="19">
        <v>1032</v>
      </c>
      <c r="M35" s="28">
        <f t="shared" ca="1" si="1"/>
        <v>8</v>
      </c>
      <c r="N35" s="34" t="s">
        <v>212</v>
      </c>
      <c r="O35" s="19" t="str" cm="1">
        <f t="array" ref="O35">IF(N35="unknown",INDEX($N$3:$N$152,MODE(MATCH($N$3:$N$152,$N$3:$N$152,0))),N35)</f>
        <v>user190@example.com</v>
      </c>
    </row>
    <row r="36" spans="1:15" x14ac:dyDescent="0.35">
      <c r="A36" s="19" t="s">
        <v>42</v>
      </c>
      <c r="B36" s="19" t="s">
        <v>164</v>
      </c>
      <c r="C36" s="19" t="s">
        <v>338</v>
      </c>
      <c r="D36" s="19" t="s">
        <v>342</v>
      </c>
      <c r="E36" s="19">
        <v>95367</v>
      </c>
      <c r="F36" s="22" t="str">
        <f t="shared" si="2"/>
        <v>95367</v>
      </c>
      <c r="G36" s="19">
        <v>95367</v>
      </c>
      <c r="H36" s="20">
        <v>42239</v>
      </c>
      <c r="I36" s="19">
        <v>3</v>
      </c>
      <c r="J36" s="19" t="s">
        <v>180</v>
      </c>
      <c r="K36" s="19" t="s">
        <v>213</v>
      </c>
      <c r="L36" s="19">
        <v>1033</v>
      </c>
      <c r="M36" s="28">
        <f t="shared" ca="1" si="1"/>
        <v>1</v>
      </c>
      <c r="N36" s="34" t="s">
        <v>213</v>
      </c>
      <c r="O36" s="19" t="str" cm="1">
        <f t="array" ref="O36">IF(N36="unknown",INDEX($N$3:$N$152,MODE(MATCH($N$3:$N$152,$N$3:$N$152,0))),N36)</f>
        <v>user136@example.com</v>
      </c>
    </row>
    <row r="37" spans="1:15" x14ac:dyDescent="0.35">
      <c r="A37" s="19" t="s">
        <v>43</v>
      </c>
      <c r="B37" s="19" t="s">
        <v>161</v>
      </c>
      <c r="C37" s="19" t="s">
        <v>336</v>
      </c>
      <c r="D37" s="19" t="s">
        <v>345</v>
      </c>
      <c r="E37" s="19">
        <v>79549</v>
      </c>
      <c r="F37" s="22" t="str">
        <f t="shared" si="2"/>
        <v>79549</v>
      </c>
      <c r="G37" s="19">
        <v>79549</v>
      </c>
      <c r="H37" s="20">
        <v>42246</v>
      </c>
      <c r="I37" s="19">
        <v>3</v>
      </c>
      <c r="J37" s="19" t="s">
        <v>178</v>
      </c>
      <c r="K37" s="19" t="s">
        <v>214</v>
      </c>
      <c r="L37" s="19">
        <v>1034</v>
      </c>
      <c r="M37" s="28">
        <f t="shared" ca="1" si="1"/>
        <v>25</v>
      </c>
      <c r="N37" s="34" t="s">
        <v>214</v>
      </c>
      <c r="O37" s="19" t="str" cm="1">
        <f t="array" ref="O37">IF(N37="unknown",INDEX($N$3:$N$152,MODE(MATCH($N$3:$N$152,$N$3:$N$152,0))),N37)</f>
        <v>user198@example.com</v>
      </c>
    </row>
    <row r="38" spans="1:15" x14ac:dyDescent="0.35">
      <c r="A38" s="19" t="s">
        <v>44</v>
      </c>
      <c r="B38" s="19" t="s">
        <v>160</v>
      </c>
      <c r="C38" s="19" t="s">
        <v>338</v>
      </c>
      <c r="D38" s="19" t="s">
        <v>344</v>
      </c>
      <c r="E38" s="19">
        <v>54463</v>
      </c>
      <c r="F38" s="22" t="str">
        <f t="shared" si="2"/>
        <v>54463</v>
      </c>
      <c r="G38" s="19">
        <v>54463</v>
      </c>
      <c r="H38" s="20">
        <v>42253</v>
      </c>
      <c r="I38" s="19">
        <v>4</v>
      </c>
      <c r="J38" s="19" t="s">
        <v>180</v>
      </c>
      <c r="K38" s="19" t="s">
        <v>182</v>
      </c>
      <c r="L38" s="19">
        <v>1035</v>
      </c>
      <c r="M38" s="28">
        <f t="shared" ca="1" si="1"/>
        <v>18</v>
      </c>
      <c r="N38" s="34" t="s">
        <v>340</v>
      </c>
      <c r="O38" s="19" t="str" cm="1">
        <f t="array" ref="O38">IF(N38="unknown",INDEX($N$3:$N$152,MODE(MATCH($N$3:$N$152,$N$3:$N$152,0))),N38)</f>
        <v>unknown</v>
      </c>
    </row>
    <row r="39" spans="1:15" x14ac:dyDescent="0.35">
      <c r="A39" s="19" t="s">
        <v>45</v>
      </c>
      <c r="B39" s="19" t="s">
        <v>160</v>
      </c>
      <c r="C39" s="19" t="s">
        <v>169</v>
      </c>
      <c r="D39" s="19" t="s">
        <v>342</v>
      </c>
      <c r="E39" s="19">
        <v>89781</v>
      </c>
      <c r="F39" s="22" t="str">
        <f t="shared" si="2"/>
        <v>89781</v>
      </c>
      <c r="G39" s="19">
        <v>89781</v>
      </c>
      <c r="H39" s="20">
        <v>42260</v>
      </c>
      <c r="I39" s="19">
        <v>3</v>
      </c>
      <c r="J39" s="19" t="s">
        <v>181</v>
      </c>
      <c r="K39" s="19" t="s">
        <v>215</v>
      </c>
      <c r="L39" s="19">
        <v>1036</v>
      </c>
      <c r="M39" s="28">
        <f t="shared" ca="1" si="1"/>
        <v>11</v>
      </c>
      <c r="N39" s="34" t="s">
        <v>215</v>
      </c>
      <c r="O39" s="19" t="str" cm="1">
        <f t="array" ref="O39">IF(N39="unknown",INDEX($N$3:$N$152,MODE(MATCH($N$3:$N$152,$N$3:$N$152,0))),N39)</f>
        <v>user31@example.com</v>
      </c>
    </row>
    <row r="40" spans="1:15" x14ac:dyDescent="0.35">
      <c r="A40" s="19" t="s">
        <v>46</v>
      </c>
      <c r="B40" s="19" t="s">
        <v>160</v>
      </c>
      <c r="C40" s="19" t="s">
        <v>167</v>
      </c>
      <c r="D40" s="19" t="s">
        <v>340</v>
      </c>
      <c r="E40" s="19">
        <v>64796</v>
      </c>
      <c r="F40" s="22" t="str">
        <f t="shared" si="2"/>
        <v>64796</v>
      </c>
      <c r="G40" s="19">
        <v>64796</v>
      </c>
      <c r="H40" s="20">
        <v>42267</v>
      </c>
      <c r="I40" s="19">
        <v>3</v>
      </c>
      <c r="J40" s="19" t="s">
        <v>179</v>
      </c>
      <c r="K40" s="19" t="s">
        <v>216</v>
      </c>
      <c r="L40" s="19">
        <v>1037</v>
      </c>
      <c r="M40" s="28">
        <f t="shared" ca="1" si="1"/>
        <v>4</v>
      </c>
      <c r="N40" s="34" t="s">
        <v>216</v>
      </c>
      <c r="O40" s="19" t="str" cm="1">
        <f t="array" ref="O40">IF(N40="unknown",INDEX($N$3:$N$152,MODE(MATCH($N$3:$N$152,$N$3:$N$152,0))),N40)</f>
        <v>user98@example.com</v>
      </c>
    </row>
    <row r="41" spans="1:15" x14ac:dyDescent="0.35">
      <c r="A41" s="19" t="s">
        <v>47</v>
      </c>
      <c r="B41" s="19" t="s">
        <v>161</v>
      </c>
      <c r="C41" s="19" t="s">
        <v>337</v>
      </c>
      <c r="D41" s="19" t="s">
        <v>344</v>
      </c>
      <c r="E41" s="19">
        <v>52093</v>
      </c>
      <c r="F41" s="22" t="str">
        <f t="shared" si="2"/>
        <v>52093</v>
      </c>
      <c r="G41" s="19">
        <v>52093</v>
      </c>
      <c r="H41" s="20">
        <v>42274</v>
      </c>
      <c r="I41" s="19">
        <v>5</v>
      </c>
      <c r="J41" s="19" t="s">
        <v>178</v>
      </c>
      <c r="K41" s="19" t="s">
        <v>217</v>
      </c>
      <c r="L41" s="19">
        <v>1038</v>
      </c>
      <c r="M41" s="28">
        <f t="shared" ca="1" si="1"/>
        <v>28</v>
      </c>
      <c r="N41" s="34" t="s">
        <v>217</v>
      </c>
      <c r="O41" s="19" t="str" cm="1">
        <f t="array" ref="O41">IF(N41="unknown",INDEX($N$3:$N$152,MODE(MATCH($N$3:$N$152,$N$3:$N$152,0))),N41)</f>
        <v>user154@example.com</v>
      </c>
    </row>
    <row r="42" spans="1:15" x14ac:dyDescent="0.35">
      <c r="A42" s="19" t="s">
        <v>48</v>
      </c>
      <c r="B42" s="19" t="s">
        <v>164</v>
      </c>
      <c r="C42" s="19" t="s">
        <v>167</v>
      </c>
      <c r="D42" s="19" t="s">
        <v>344</v>
      </c>
      <c r="E42" s="19">
        <v>48224</v>
      </c>
      <c r="F42" s="22" t="str">
        <f t="shared" si="2"/>
        <v>48224</v>
      </c>
      <c r="G42" s="19">
        <v>48224</v>
      </c>
      <c r="H42" s="20">
        <v>42281</v>
      </c>
      <c r="I42" s="19">
        <v>3</v>
      </c>
      <c r="J42" s="19" t="s">
        <v>178</v>
      </c>
      <c r="K42" s="19" t="s">
        <v>218</v>
      </c>
      <c r="L42" s="19">
        <v>1039</v>
      </c>
      <c r="M42" s="28">
        <f t="shared" ca="1" si="1"/>
        <v>20</v>
      </c>
      <c r="N42" s="34" t="s">
        <v>218</v>
      </c>
      <c r="O42" s="19" t="str" cm="1">
        <f t="array" ref="O42">IF(N42="unknown",INDEX($N$3:$N$152,MODE(MATCH($N$3:$N$152,$N$3:$N$152,0))),N42)</f>
        <v>user42@example.com</v>
      </c>
    </row>
    <row r="43" spans="1:15" x14ac:dyDescent="0.35">
      <c r="A43" s="19" t="s">
        <v>49</v>
      </c>
      <c r="B43" s="19" t="s">
        <v>165</v>
      </c>
      <c r="C43" s="19" t="s">
        <v>335</v>
      </c>
      <c r="D43" s="19" t="s">
        <v>344</v>
      </c>
      <c r="E43" s="19" t="s">
        <v>177</v>
      </c>
      <c r="F43" s="22" t="str">
        <f t="shared" si="2"/>
        <v>0</v>
      </c>
      <c r="G43" s="19">
        <v>65605</v>
      </c>
      <c r="H43" s="20" t="s">
        <v>178</v>
      </c>
      <c r="I43" s="19">
        <v>4</v>
      </c>
      <c r="J43" s="19" t="s">
        <v>181</v>
      </c>
      <c r="K43" s="19" t="s">
        <v>219</v>
      </c>
      <c r="L43" s="19">
        <v>1040</v>
      </c>
      <c r="M43" s="28">
        <f t="shared" ca="1" si="1"/>
        <v>0</v>
      </c>
      <c r="N43" s="34" t="s">
        <v>219</v>
      </c>
      <c r="O43" s="19" t="str" cm="1">
        <f t="array" ref="O43">IF(N43="unknown",INDEX($N$3:$N$152,MODE(MATCH($N$3:$N$152,$N$3:$N$152,0))),N43)</f>
        <v>user89@example.com</v>
      </c>
    </row>
    <row r="44" spans="1:15" x14ac:dyDescent="0.35">
      <c r="A44" s="19" t="s">
        <v>50</v>
      </c>
      <c r="B44" s="19" t="s">
        <v>160</v>
      </c>
      <c r="C44" s="19" t="s">
        <v>169</v>
      </c>
      <c r="D44" s="19" t="s">
        <v>341</v>
      </c>
      <c r="E44" s="19">
        <v>33956</v>
      </c>
      <c r="F44" s="22" t="str">
        <f t="shared" si="2"/>
        <v>33956</v>
      </c>
      <c r="G44" s="19">
        <v>33956</v>
      </c>
      <c r="H44" s="20">
        <v>42295</v>
      </c>
      <c r="I44" s="19">
        <v>3</v>
      </c>
      <c r="J44" s="19" t="s">
        <v>178</v>
      </c>
      <c r="K44" s="19" t="s">
        <v>220</v>
      </c>
      <c r="L44" s="19">
        <v>1041</v>
      </c>
      <c r="M44" s="28">
        <f t="shared" ca="1" si="1"/>
        <v>6</v>
      </c>
      <c r="N44" s="34" t="s">
        <v>220</v>
      </c>
      <c r="O44" s="19" t="str" cm="1">
        <f t="array" ref="O44">IF(N44="unknown",INDEX($N$3:$N$152,MODE(MATCH($N$3:$N$152,$N$3:$N$152,0))),N44)</f>
        <v>user47@example.com</v>
      </c>
    </row>
    <row r="45" spans="1:15" x14ac:dyDescent="0.35">
      <c r="A45" s="19" t="s">
        <v>51</v>
      </c>
      <c r="B45" s="19" t="s">
        <v>165</v>
      </c>
      <c r="C45" s="19" t="s">
        <v>338</v>
      </c>
      <c r="D45" s="19" t="s">
        <v>345</v>
      </c>
      <c r="E45" s="19">
        <v>64913</v>
      </c>
      <c r="F45" s="22" t="str">
        <f t="shared" si="2"/>
        <v>64913</v>
      </c>
      <c r="G45" s="19">
        <v>64913</v>
      </c>
      <c r="H45" s="20">
        <v>42302</v>
      </c>
      <c r="I45" s="19">
        <v>1</v>
      </c>
      <c r="J45" s="19" t="s">
        <v>181</v>
      </c>
      <c r="K45" s="19" t="s">
        <v>221</v>
      </c>
      <c r="L45" s="19">
        <v>1042</v>
      </c>
      <c r="M45" s="28">
        <f t="shared" ca="1" si="1"/>
        <v>30</v>
      </c>
      <c r="N45" s="34" t="s">
        <v>221</v>
      </c>
      <c r="O45" s="19" t="str" cm="1">
        <f t="array" ref="O45">IF(N45="unknown",INDEX($N$3:$N$152,MODE(MATCH($N$3:$N$152,$N$3:$N$152,0))),N45)</f>
        <v>user175@example.com</v>
      </c>
    </row>
    <row r="46" spans="1:15" x14ac:dyDescent="0.35">
      <c r="A46" s="19" t="s">
        <v>52</v>
      </c>
      <c r="B46" s="19" t="s">
        <v>160</v>
      </c>
      <c r="C46" s="19" t="s">
        <v>337</v>
      </c>
      <c r="D46" s="19" t="s">
        <v>345</v>
      </c>
      <c r="E46" s="19">
        <v>35326</v>
      </c>
      <c r="F46" s="22" t="str">
        <f t="shared" si="2"/>
        <v>35326</v>
      </c>
      <c r="G46" s="19">
        <v>35326</v>
      </c>
      <c r="H46" s="20">
        <v>42309</v>
      </c>
      <c r="I46" s="19">
        <v>3</v>
      </c>
      <c r="J46" s="19" t="s">
        <v>181</v>
      </c>
      <c r="K46" s="19" t="s">
        <v>222</v>
      </c>
      <c r="L46" s="19">
        <v>1043</v>
      </c>
      <c r="M46" s="28">
        <f t="shared" ca="1" si="1"/>
        <v>23</v>
      </c>
      <c r="N46" s="34" t="s">
        <v>222</v>
      </c>
      <c r="O46" s="19" t="str" cm="1">
        <f t="array" ref="O46">IF(N46="unknown",INDEX($N$3:$N$152,MODE(MATCH($N$3:$N$152,$N$3:$N$152,0))),N46)</f>
        <v>user57@example.com</v>
      </c>
    </row>
    <row r="47" spans="1:15" x14ac:dyDescent="0.35">
      <c r="A47" s="19" t="s">
        <v>53</v>
      </c>
      <c r="B47" s="19" t="s">
        <v>164</v>
      </c>
      <c r="C47" s="19" t="s">
        <v>335</v>
      </c>
      <c r="D47" s="19" t="s">
        <v>340</v>
      </c>
      <c r="E47" s="19">
        <v>81610</v>
      </c>
      <c r="F47" s="22" t="str">
        <f t="shared" si="2"/>
        <v>81610</v>
      </c>
      <c r="G47" s="19">
        <v>81610</v>
      </c>
      <c r="H47" s="20">
        <v>42316</v>
      </c>
      <c r="I47" s="19">
        <v>1</v>
      </c>
      <c r="J47" s="19" t="s">
        <v>178</v>
      </c>
      <c r="K47" s="19" t="s">
        <v>223</v>
      </c>
      <c r="L47" s="19">
        <v>1044</v>
      </c>
      <c r="M47" s="28">
        <f t="shared" ca="1" si="1"/>
        <v>16</v>
      </c>
      <c r="N47" s="34" t="s">
        <v>223</v>
      </c>
      <c r="O47" s="19" t="str" cm="1">
        <f t="array" ref="O47">IF(N47="unknown",INDEX($N$3:$N$152,MODE(MATCH($N$3:$N$152,$N$3:$N$152,0))),N47)</f>
        <v>user20@example.com</v>
      </c>
    </row>
    <row r="48" spans="1:15" x14ac:dyDescent="0.35">
      <c r="A48" s="19" t="s">
        <v>54</v>
      </c>
      <c r="B48" s="19" t="s">
        <v>178</v>
      </c>
      <c r="C48" s="19" t="s">
        <v>167</v>
      </c>
      <c r="D48" s="19" t="s">
        <v>340</v>
      </c>
      <c r="E48" s="19">
        <v>58962</v>
      </c>
      <c r="F48" s="22" t="str">
        <f t="shared" si="2"/>
        <v>58962</v>
      </c>
      <c r="G48" s="19">
        <v>58962</v>
      </c>
      <c r="H48" s="20">
        <v>42323</v>
      </c>
      <c r="I48" s="19">
        <v>3</v>
      </c>
      <c r="J48" s="19" t="s">
        <v>179</v>
      </c>
      <c r="K48" s="19" t="s">
        <v>183</v>
      </c>
      <c r="L48" s="19">
        <v>1045</v>
      </c>
      <c r="M48" s="28">
        <f t="shared" ca="1" si="1"/>
        <v>9</v>
      </c>
      <c r="N48" s="34" t="s">
        <v>183</v>
      </c>
      <c r="O48" s="19" t="str" cm="1">
        <f t="array" ref="O48">IF(N48="unknown",INDEX($N$3:$N$152,MODE(MATCH($N$3:$N$152,$N$3:$N$152,0))),N48)</f>
        <v>user106@example.com</v>
      </c>
    </row>
    <row r="49" spans="1:15" x14ac:dyDescent="0.35">
      <c r="A49" s="19" t="s">
        <v>55</v>
      </c>
      <c r="B49" s="19" t="s">
        <v>164</v>
      </c>
      <c r="C49" s="19" t="s">
        <v>169</v>
      </c>
      <c r="D49" s="19" t="s">
        <v>341</v>
      </c>
      <c r="E49" s="19">
        <v>92701</v>
      </c>
      <c r="F49" s="22" t="str">
        <f t="shared" si="2"/>
        <v>92701</v>
      </c>
      <c r="G49" s="19">
        <v>92701</v>
      </c>
      <c r="H49" s="20">
        <v>42330</v>
      </c>
      <c r="I49" s="19">
        <v>3</v>
      </c>
      <c r="J49" s="19" t="s">
        <v>179</v>
      </c>
      <c r="K49" s="19" t="s">
        <v>224</v>
      </c>
      <c r="L49" s="19">
        <v>1046</v>
      </c>
      <c r="M49" s="28">
        <f t="shared" ca="1" si="1"/>
        <v>2</v>
      </c>
      <c r="N49" s="34" t="s">
        <v>224</v>
      </c>
      <c r="O49" s="19" t="str" cm="1">
        <f t="array" ref="O49">IF(N49="unknown",INDEX($N$3:$N$152,MODE(MATCH($N$3:$N$152,$N$3:$N$152,0))),N49)</f>
        <v>user199@example.com</v>
      </c>
    </row>
    <row r="50" spans="1:15" x14ac:dyDescent="0.35">
      <c r="A50" s="19" t="s">
        <v>56</v>
      </c>
      <c r="B50" s="19" t="s">
        <v>164</v>
      </c>
      <c r="C50" s="19" t="s">
        <v>167</v>
      </c>
      <c r="D50" s="19" t="s">
        <v>343</v>
      </c>
      <c r="E50" s="19">
        <v>58245</v>
      </c>
      <c r="F50" s="22" t="str">
        <f t="shared" si="2"/>
        <v>58245</v>
      </c>
      <c r="G50" s="19">
        <v>58245</v>
      </c>
      <c r="H50" s="20">
        <v>42337</v>
      </c>
      <c r="I50" s="19">
        <v>4</v>
      </c>
      <c r="J50" s="19" t="s">
        <v>178</v>
      </c>
      <c r="K50" s="19" t="s">
        <v>225</v>
      </c>
      <c r="L50" s="19">
        <v>1047</v>
      </c>
      <c r="M50" s="28">
        <f t="shared" ca="1" si="1"/>
        <v>26</v>
      </c>
      <c r="N50" s="34" t="s">
        <v>225</v>
      </c>
      <c r="O50" s="19" t="str" cm="1">
        <f t="array" ref="O50">IF(N50="unknown",INDEX($N$3:$N$152,MODE(MATCH($N$3:$N$152,$N$3:$N$152,0))),N50)</f>
        <v>user43@example.com</v>
      </c>
    </row>
    <row r="51" spans="1:15" x14ac:dyDescent="0.35">
      <c r="A51" s="19" t="s">
        <v>57</v>
      </c>
      <c r="B51" s="19" t="s">
        <v>161</v>
      </c>
      <c r="C51" s="19" t="s">
        <v>335</v>
      </c>
      <c r="D51" s="19" t="s">
        <v>340</v>
      </c>
      <c r="E51" s="19">
        <v>66513</v>
      </c>
      <c r="F51" s="22" t="str">
        <f t="shared" si="2"/>
        <v>66513</v>
      </c>
      <c r="G51" s="19">
        <v>66513</v>
      </c>
      <c r="H51" s="20">
        <v>42344</v>
      </c>
      <c r="I51" s="19">
        <v>2</v>
      </c>
      <c r="J51" s="19" t="s">
        <v>179</v>
      </c>
      <c r="K51" s="19" t="s">
        <v>187</v>
      </c>
      <c r="L51" s="19">
        <v>1048</v>
      </c>
      <c r="M51" s="28">
        <f t="shared" ca="1" si="1"/>
        <v>18</v>
      </c>
      <c r="N51" s="34" t="s">
        <v>187</v>
      </c>
      <c r="O51" s="19" t="str" cm="1">
        <f t="array" ref="O51">IF(N51="unknown",INDEX($N$3:$N$152,MODE(MATCH($N$3:$N$152,$N$3:$N$152,0))),N51)</f>
        <v>user24@example.com</v>
      </c>
    </row>
    <row r="52" spans="1:15" x14ac:dyDescent="0.35">
      <c r="A52" s="19" t="s">
        <v>58</v>
      </c>
      <c r="B52" s="19" t="s">
        <v>159</v>
      </c>
      <c r="C52" s="19" t="s">
        <v>167</v>
      </c>
      <c r="D52" s="19" t="s">
        <v>341</v>
      </c>
      <c r="E52" s="19">
        <v>78720</v>
      </c>
      <c r="F52" s="22" t="str">
        <f t="shared" si="2"/>
        <v>78720</v>
      </c>
      <c r="G52" s="19">
        <v>78720</v>
      </c>
      <c r="H52" s="20">
        <v>42351</v>
      </c>
      <c r="I52" s="19">
        <v>5</v>
      </c>
      <c r="J52" s="19" t="s">
        <v>181</v>
      </c>
      <c r="K52" s="19" t="s">
        <v>219</v>
      </c>
      <c r="L52" s="19">
        <v>1049</v>
      </c>
      <c r="M52" s="28">
        <f t="shared" ca="1" si="1"/>
        <v>11</v>
      </c>
      <c r="N52" s="34" t="s">
        <v>219</v>
      </c>
      <c r="O52" s="19" t="str" cm="1">
        <f t="array" ref="O52">IF(N52="unknown",INDEX($N$3:$N$152,MODE(MATCH($N$3:$N$152,$N$3:$N$152,0))),N52)</f>
        <v>user89@example.com</v>
      </c>
    </row>
    <row r="53" spans="1:15" x14ac:dyDescent="0.35">
      <c r="A53" s="19" t="s">
        <v>59</v>
      </c>
      <c r="B53" s="19" t="s">
        <v>164</v>
      </c>
      <c r="C53" s="19" t="s">
        <v>338</v>
      </c>
      <c r="D53" s="19" t="s">
        <v>340</v>
      </c>
      <c r="E53" s="19">
        <v>30686</v>
      </c>
      <c r="F53" s="22" t="str">
        <f t="shared" si="2"/>
        <v>30686</v>
      </c>
      <c r="G53" s="19">
        <v>30686</v>
      </c>
      <c r="H53" s="20" t="s">
        <v>178</v>
      </c>
      <c r="I53" s="19">
        <v>2</v>
      </c>
      <c r="J53" s="19" t="s">
        <v>181</v>
      </c>
      <c r="K53" s="19" t="s">
        <v>226</v>
      </c>
      <c r="L53" s="19">
        <v>1050</v>
      </c>
      <c r="M53" s="28">
        <f t="shared" ca="1" si="1"/>
        <v>0</v>
      </c>
      <c r="N53" s="34" t="s">
        <v>226</v>
      </c>
      <c r="O53" s="19" t="str" cm="1">
        <f t="array" ref="O53">IF(N53="unknown",INDEX($N$3:$N$152,MODE(MATCH($N$3:$N$152,$N$3:$N$152,0))),N53)</f>
        <v>user95@example.com</v>
      </c>
    </row>
    <row r="54" spans="1:15" x14ac:dyDescent="0.35">
      <c r="A54" s="19" t="s">
        <v>60</v>
      </c>
      <c r="B54" s="19" t="s">
        <v>163</v>
      </c>
      <c r="C54" s="19" t="s">
        <v>336</v>
      </c>
      <c r="D54" s="19" t="s">
        <v>343</v>
      </c>
      <c r="E54" s="19">
        <v>39423</v>
      </c>
      <c r="F54" s="22" t="str">
        <f t="shared" si="2"/>
        <v>39423</v>
      </c>
      <c r="G54" s="19">
        <v>39423</v>
      </c>
      <c r="H54" s="20">
        <v>42365</v>
      </c>
      <c r="I54" s="19">
        <v>5</v>
      </c>
      <c r="J54" s="19" t="s">
        <v>178</v>
      </c>
      <c r="K54" s="19" t="s">
        <v>227</v>
      </c>
      <c r="L54" s="19">
        <v>1051</v>
      </c>
      <c r="M54" s="28">
        <f t="shared" ca="1" si="1"/>
        <v>28</v>
      </c>
      <c r="N54" s="34" t="s">
        <v>227</v>
      </c>
      <c r="O54" s="19" t="str" cm="1">
        <f t="array" ref="O54">IF(N54="unknown",INDEX($N$3:$N$152,MODE(MATCH($N$3:$N$152,$N$3:$N$152,0))),N54)</f>
        <v>user59@example.com</v>
      </c>
    </row>
    <row r="55" spans="1:15" x14ac:dyDescent="0.35">
      <c r="A55" s="19" t="s">
        <v>61</v>
      </c>
      <c r="B55" s="19" t="s">
        <v>159</v>
      </c>
      <c r="C55" s="19" t="s">
        <v>337</v>
      </c>
      <c r="D55" s="19" t="s">
        <v>340</v>
      </c>
      <c r="E55" s="19">
        <v>30280</v>
      </c>
      <c r="F55" s="22" t="str">
        <f t="shared" si="2"/>
        <v>30280</v>
      </c>
      <c r="G55" s="19">
        <v>30280</v>
      </c>
      <c r="H55" s="20">
        <v>42372</v>
      </c>
      <c r="I55" s="19">
        <v>1</v>
      </c>
      <c r="J55" s="19" t="s">
        <v>178</v>
      </c>
      <c r="K55" s="19" t="s">
        <v>228</v>
      </c>
      <c r="L55" s="19">
        <v>1052</v>
      </c>
      <c r="M55" s="28">
        <f t="shared" ca="1" si="1"/>
        <v>21</v>
      </c>
      <c r="N55" s="34" t="s">
        <v>228</v>
      </c>
      <c r="O55" s="19" t="str" cm="1">
        <f t="array" ref="O55">IF(N55="unknown",INDEX($N$3:$N$152,MODE(MATCH($N$3:$N$152,$N$3:$N$152,0))),N55)</f>
        <v>user152@example.com</v>
      </c>
    </row>
    <row r="56" spans="1:15" x14ac:dyDescent="0.35">
      <c r="A56" s="19" t="s">
        <v>62</v>
      </c>
      <c r="B56" s="19" t="s">
        <v>159</v>
      </c>
      <c r="C56" s="19" t="s">
        <v>335</v>
      </c>
      <c r="D56" s="19" t="s">
        <v>344</v>
      </c>
      <c r="E56" s="19">
        <v>33352</v>
      </c>
      <c r="F56" s="22" t="str">
        <f t="shared" si="2"/>
        <v>33352</v>
      </c>
      <c r="G56" s="19">
        <v>33352</v>
      </c>
      <c r="H56" s="20">
        <v>42379</v>
      </c>
      <c r="I56" s="19">
        <v>3</v>
      </c>
      <c r="J56" s="19" t="s">
        <v>181</v>
      </c>
      <c r="K56" s="19" t="s">
        <v>200</v>
      </c>
      <c r="L56" s="19">
        <v>1053</v>
      </c>
      <c r="M56" s="28">
        <f t="shared" ca="1" si="1"/>
        <v>14</v>
      </c>
      <c r="N56" s="34" t="s">
        <v>200</v>
      </c>
      <c r="O56" s="19" t="str" cm="1">
        <f t="array" ref="O56">IF(N56="unknown",INDEX($N$3:$N$152,MODE(MATCH($N$3:$N$152,$N$3:$N$152,0))),N56)</f>
        <v>user200@example.com</v>
      </c>
    </row>
    <row r="57" spans="1:15" x14ac:dyDescent="0.35">
      <c r="A57" s="19" t="s">
        <v>63</v>
      </c>
      <c r="B57" s="19" t="s">
        <v>165</v>
      </c>
      <c r="C57" s="19" t="s">
        <v>337</v>
      </c>
      <c r="D57" s="19" t="s">
        <v>344</v>
      </c>
      <c r="E57" s="19">
        <v>75633</v>
      </c>
      <c r="F57" s="22" t="str">
        <f t="shared" si="2"/>
        <v>75633</v>
      </c>
      <c r="G57" s="19">
        <v>75633</v>
      </c>
      <c r="H57" s="20">
        <v>42386</v>
      </c>
      <c r="I57" s="19">
        <v>5</v>
      </c>
      <c r="J57" s="19" t="s">
        <v>179</v>
      </c>
      <c r="K57" s="19" t="s">
        <v>229</v>
      </c>
      <c r="L57" s="19">
        <v>1054</v>
      </c>
      <c r="M57" s="28">
        <f t="shared" ca="1" si="1"/>
        <v>7</v>
      </c>
      <c r="N57" s="34" t="s">
        <v>229</v>
      </c>
      <c r="O57" s="19" t="str" cm="1">
        <f t="array" ref="O57">IF(N57="unknown",INDEX($N$3:$N$152,MODE(MATCH($N$3:$N$152,$N$3:$N$152,0))),N57)</f>
        <v>user92@example.com</v>
      </c>
    </row>
    <row r="58" spans="1:15" x14ac:dyDescent="0.35">
      <c r="A58" s="19" t="s">
        <v>64</v>
      </c>
      <c r="B58" s="19" t="s">
        <v>164</v>
      </c>
      <c r="C58" s="19" t="s">
        <v>338</v>
      </c>
      <c r="D58" s="19" t="s">
        <v>342</v>
      </c>
      <c r="E58" s="19">
        <v>74815</v>
      </c>
      <c r="F58" s="22" t="str">
        <f t="shared" si="2"/>
        <v>74815</v>
      </c>
      <c r="G58" s="19">
        <v>74815</v>
      </c>
      <c r="H58" s="20">
        <v>42393</v>
      </c>
      <c r="I58" s="19">
        <v>5</v>
      </c>
      <c r="J58" s="19" t="s">
        <v>181</v>
      </c>
      <c r="K58" s="19" t="s">
        <v>230</v>
      </c>
      <c r="L58" s="19">
        <v>1055</v>
      </c>
      <c r="M58" s="28">
        <f t="shared" ca="1" si="1"/>
        <v>0</v>
      </c>
      <c r="N58" s="34" t="s">
        <v>230</v>
      </c>
      <c r="O58" s="19" t="str" cm="1">
        <f t="array" ref="O58">IF(N58="unknown",INDEX($N$3:$N$152,MODE(MATCH($N$3:$N$152,$N$3:$N$152,0))),N58)</f>
        <v>user50@example.com</v>
      </c>
    </row>
    <row r="59" spans="1:15" x14ac:dyDescent="0.35">
      <c r="A59" s="19" t="s">
        <v>65</v>
      </c>
      <c r="B59" s="19" t="s">
        <v>161</v>
      </c>
      <c r="C59" s="19" t="s">
        <v>336</v>
      </c>
      <c r="D59" s="19" t="s">
        <v>345</v>
      </c>
      <c r="E59" s="19">
        <v>60011</v>
      </c>
      <c r="F59" s="22" t="str">
        <f t="shared" si="2"/>
        <v>60011</v>
      </c>
      <c r="G59" s="19">
        <v>60011</v>
      </c>
      <c r="H59" s="20">
        <v>42400</v>
      </c>
      <c r="I59" s="19">
        <v>1</v>
      </c>
      <c r="J59" s="19" t="s">
        <v>180</v>
      </c>
      <c r="K59" s="19" t="s">
        <v>231</v>
      </c>
      <c r="L59" s="19">
        <v>1056</v>
      </c>
      <c r="M59" s="28">
        <f t="shared" ca="1" si="1"/>
        <v>24</v>
      </c>
      <c r="N59" s="34" t="s">
        <v>231</v>
      </c>
      <c r="O59" s="19" t="str" cm="1">
        <f t="array" ref="O59">IF(N59="unknown",INDEX($N$3:$N$152,MODE(MATCH($N$3:$N$152,$N$3:$N$152,0))),N59)</f>
        <v>user63@example.com</v>
      </c>
    </row>
    <row r="60" spans="1:15" x14ac:dyDescent="0.35">
      <c r="A60" s="19" t="s">
        <v>66</v>
      </c>
      <c r="B60" s="19" t="s">
        <v>159</v>
      </c>
      <c r="C60" s="19" t="s">
        <v>338</v>
      </c>
      <c r="D60" s="19" t="s">
        <v>343</v>
      </c>
      <c r="E60" s="19">
        <v>96949</v>
      </c>
      <c r="F60" s="22" t="str">
        <f t="shared" si="2"/>
        <v>96949</v>
      </c>
      <c r="G60" s="19">
        <v>96949</v>
      </c>
      <c r="H60" s="20">
        <v>42407</v>
      </c>
      <c r="I60" s="19">
        <v>3</v>
      </c>
      <c r="J60" s="19" t="s">
        <v>178</v>
      </c>
      <c r="K60" s="19" t="s">
        <v>207</v>
      </c>
      <c r="L60" s="19">
        <v>1057</v>
      </c>
      <c r="M60" s="28">
        <f t="shared" ca="1" si="1"/>
        <v>17</v>
      </c>
      <c r="N60" s="34" t="s">
        <v>207</v>
      </c>
      <c r="O60" s="19" t="str" cm="1">
        <f t="array" ref="O60">IF(N60="unknown",INDEX($N$3:$N$152,MODE(MATCH($N$3:$N$152,$N$3:$N$152,0))),N60)</f>
        <v>user103@example.com</v>
      </c>
    </row>
    <row r="61" spans="1:15" x14ac:dyDescent="0.35">
      <c r="A61" s="19" t="s">
        <v>67</v>
      </c>
      <c r="B61" s="19" t="s">
        <v>163</v>
      </c>
      <c r="C61" s="19" t="s">
        <v>337</v>
      </c>
      <c r="D61" s="19" t="s">
        <v>340</v>
      </c>
      <c r="E61" s="19">
        <v>84924</v>
      </c>
      <c r="F61" s="22" t="str">
        <f t="shared" si="2"/>
        <v>84924</v>
      </c>
      <c r="G61" s="19">
        <v>84924</v>
      </c>
      <c r="H61" s="20">
        <v>42414</v>
      </c>
      <c r="I61" s="19">
        <v>5</v>
      </c>
      <c r="J61" s="19" t="s">
        <v>180</v>
      </c>
      <c r="K61" s="19" t="s">
        <v>232</v>
      </c>
      <c r="L61" s="19">
        <v>1058</v>
      </c>
      <c r="M61" s="28">
        <f t="shared" ca="1" si="1"/>
        <v>10</v>
      </c>
      <c r="N61" s="34" t="s">
        <v>232</v>
      </c>
      <c r="O61" s="19" t="str" cm="1">
        <f t="array" ref="O61">IF(N61="unknown",INDEX($N$3:$N$152,MODE(MATCH($N$3:$N$152,$N$3:$N$152,0))),N61)</f>
        <v>user150@example.com</v>
      </c>
    </row>
    <row r="62" spans="1:15" x14ac:dyDescent="0.35">
      <c r="A62" s="19" t="s">
        <v>68</v>
      </c>
      <c r="B62" s="19" t="s">
        <v>163</v>
      </c>
      <c r="C62" s="19" t="s">
        <v>335</v>
      </c>
      <c r="D62" s="19" t="s">
        <v>342</v>
      </c>
      <c r="E62" s="19">
        <v>82033</v>
      </c>
      <c r="F62" s="22" t="str">
        <f t="shared" si="2"/>
        <v>82033</v>
      </c>
      <c r="G62" s="19">
        <v>82033</v>
      </c>
      <c r="H62" s="20">
        <v>42421</v>
      </c>
      <c r="I62" s="19">
        <v>1</v>
      </c>
      <c r="J62" s="19" t="s">
        <v>178</v>
      </c>
      <c r="K62" s="19" t="s">
        <v>223</v>
      </c>
      <c r="L62" s="19">
        <v>1059</v>
      </c>
      <c r="M62" s="28">
        <f t="shared" ca="1" si="1"/>
        <v>3</v>
      </c>
      <c r="N62" s="34" t="s">
        <v>223</v>
      </c>
      <c r="O62" s="19" t="str" cm="1">
        <f t="array" ref="O62">IF(N62="unknown",INDEX($N$3:$N$152,MODE(MATCH($N$3:$N$152,$N$3:$N$152,0))),N62)</f>
        <v>user20@example.com</v>
      </c>
    </row>
    <row r="63" spans="1:15" x14ac:dyDescent="0.35">
      <c r="A63" s="19" t="s">
        <v>69</v>
      </c>
      <c r="B63" s="19" t="s">
        <v>178</v>
      </c>
      <c r="C63" s="19" t="s">
        <v>337</v>
      </c>
      <c r="D63" s="19" t="s">
        <v>341</v>
      </c>
      <c r="E63" s="19" t="s">
        <v>177</v>
      </c>
      <c r="F63" s="22" t="str">
        <f t="shared" si="2"/>
        <v>0</v>
      </c>
      <c r="G63" s="19">
        <v>63687</v>
      </c>
      <c r="H63" s="20" t="s">
        <v>178</v>
      </c>
      <c r="I63" s="19">
        <v>5</v>
      </c>
      <c r="J63" s="19" t="s">
        <v>178</v>
      </c>
      <c r="K63" s="19" t="s">
        <v>233</v>
      </c>
      <c r="L63" s="19">
        <v>1060</v>
      </c>
      <c r="M63" s="28">
        <f t="shared" ca="1" si="1"/>
        <v>0</v>
      </c>
      <c r="N63" s="34" t="s">
        <v>233</v>
      </c>
      <c r="O63" s="19" t="str" cm="1">
        <f t="array" ref="O63">IF(N63="unknown",INDEX($N$3:$N$152,MODE(MATCH($N$3:$N$152,$N$3:$N$152,0))),N63)</f>
        <v>user112@example.com</v>
      </c>
    </row>
    <row r="64" spans="1:15" x14ac:dyDescent="0.35">
      <c r="A64" s="19" t="s">
        <v>70</v>
      </c>
      <c r="B64" s="19" t="s">
        <v>159</v>
      </c>
      <c r="C64" s="19" t="s">
        <v>338</v>
      </c>
      <c r="D64" s="19" t="s">
        <v>345</v>
      </c>
      <c r="E64" s="19">
        <v>31499</v>
      </c>
      <c r="F64" s="22" t="str">
        <f t="shared" si="2"/>
        <v>31499</v>
      </c>
      <c r="G64" s="19">
        <v>31499</v>
      </c>
      <c r="H64" s="20">
        <v>42435</v>
      </c>
      <c r="I64" s="19">
        <v>2</v>
      </c>
      <c r="J64" s="19" t="s">
        <v>178</v>
      </c>
      <c r="K64" s="19" t="s">
        <v>215</v>
      </c>
      <c r="L64" s="19">
        <v>1061</v>
      </c>
      <c r="M64" s="28">
        <f t="shared" ca="1" si="1"/>
        <v>18</v>
      </c>
      <c r="N64" s="34" t="s">
        <v>215</v>
      </c>
      <c r="O64" s="19" t="str" cm="1">
        <f t="array" ref="O64">IF(N64="unknown",INDEX($N$3:$N$152,MODE(MATCH($N$3:$N$152,$N$3:$N$152,0))),N64)</f>
        <v>user31@example.com</v>
      </c>
    </row>
    <row r="65" spans="1:15" x14ac:dyDescent="0.35">
      <c r="A65" s="19" t="s">
        <v>71</v>
      </c>
      <c r="B65" s="19" t="s">
        <v>164</v>
      </c>
      <c r="C65" s="19" t="s">
        <v>169</v>
      </c>
      <c r="D65" s="19" t="s">
        <v>344</v>
      </c>
      <c r="E65" s="19">
        <v>97981</v>
      </c>
      <c r="F65" s="22" t="str">
        <f t="shared" si="2"/>
        <v>97981</v>
      </c>
      <c r="G65" s="19">
        <v>97981</v>
      </c>
      <c r="H65" s="20">
        <v>42442</v>
      </c>
      <c r="I65" s="19">
        <v>5</v>
      </c>
      <c r="J65" s="19" t="s">
        <v>181</v>
      </c>
      <c r="K65" s="19" t="s">
        <v>234</v>
      </c>
      <c r="L65" s="19">
        <v>1062</v>
      </c>
      <c r="M65" s="28">
        <f t="shared" ca="1" si="1"/>
        <v>11</v>
      </c>
      <c r="N65" s="34" t="s">
        <v>234</v>
      </c>
      <c r="O65" s="19" t="str" cm="1">
        <f t="array" ref="O65">IF(N65="unknown",INDEX($N$3:$N$152,MODE(MATCH($N$3:$N$152,$N$3:$N$152,0))),N65)</f>
        <v>user71@example.com</v>
      </c>
    </row>
    <row r="66" spans="1:15" x14ac:dyDescent="0.35">
      <c r="A66" s="19" t="s">
        <v>72</v>
      </c>
      <c r="B66" s="19" t="s">
        <v>159</v>
      </c>
      <c r="C66" s="19" t="s">
        <v>167</v>
      </c>
      <c r="D66" s="19" t="s">
        <v>342</v>
      </c>
      <c r="E66" s="19">
        <v>36541</v>
      </c>
      <c r="F66" s="22" t="str">
        <f t="shared" si="2"/>
        <v>36541</v>
      </c>
      <c r="G66" s="19">
        <v>36541</v>
      </c>
      <c r="H66" s="20">
        <v>42449</v>
      </c>
      <c r="I66" s="19">
        <v>2</v>
      </c>
      <c r="J66" s="19" t="s">
        <v>179</v>
      </c>
      <c r="K66" s="19" t="s">
        <v>235</v>
      </c>
      <c r="L66" s="19">
        <v>1063</v>
      </c>
      <c r="M66" s="28">
        <f t="shared" ca="1" si="1"/>
        <v>4</v>
      </c>
      <c r="N66" s="34" t="s">
        <v>235</v>
      </c>
      <c r="O66" s="19" t="str" cm="1">
        <f t="array" ref="O66">IF(N66="unknown",INDEX($N$3:$N$152,MODE(MATCH($N$3:$N$152,$N$3:$N$152,0))),N66)</f>
        <v>user97@example.com</v>
      </c>
    </row>
    <row r="67" spans="1:15" x14ac:dyDescent="0.35">
      <c r="A67" s="19" t="s">
        <v>73</v>
      </c>
      <c r="B67" s="19" t="s">
        <v>161</v>
      </c>
      <c r="C67" s="19" t="s">
        <v>169</v>
      </c>
      <c r="D67" s="19" t="s">
        <v>343</v>
      </c>
      <c r="E67" s="19">
        <v>84737</v>
      </c>
      <c r="F67" s="22" t="str">
        <f t="shared" ref="F67:F98" si="3">SUBSTITUTE(E67,"N/A","0")</f>
        <v>84737</v>
      </c>
      <c r="G67" s="19">
        <v>84737</v>
      </c>
      <c r="H67" s="20">
        <v>42456</v>
      </c>
      <c r="I67" s="19">
        <v>1</v>
      </c>
      <c r="J67" s="19" t="s">
        <v>180</v>
      </c>
      <c r="K67" s="19" t="s">
        <v>236</v>
      </c>
      <c r="L67" s="19">
        <v>1064</v>
      </c>
      <c r="M67" s="28">
        <f t="shared" ca="1" si="1"/>
        <v>28</v>
      </c>
      <c r="N67" s="34" t="s">
        <v>236</v>
      </c>
      <c r="O67" s="19" t="str" cm="1">
        <f t="array" ref="O67">IF(N67="unknown",INDEX($N$3:$N$152,MODE(MATCH($N$3:$N$152,$N$3:$N$152,0))),N67)</f>
        <v>user141@example.com</v>
      </c>
    </row>
    <row r="68" spans="1:15" x14ac:dyDescent="0.35">
      <c r="A68" s="19" t="s">
        <v>74</v>
      </c>
      <c r="B68" s="19" t="s">
        <v>163</v>
      </c>
      <c r="C68" s="19" t="s">
        <v>335</v>
      </c>
      <c r="D68" s="19" t="s">
        <v>343</v>
      </c>
      <c r="E68" s="19">
        <v>33468</v>
      </c>
      <c r="F68" s="22" t="str">
        <f t="shared" si="3"/>
        <v>33468</v>
      </c>
      <c r="G68" s="19">
        <v>33468</v>
      </c>
      <c r="H68" s="20">
        <v>42463</v>
      </c>
      <c r="I68" s="19">
        <v>4</v>
      </c>
      <c r="J68" s="19" t="s">
        <v>180</v>
      </c>
      <c r="K68" s="19" t="s">
        <v>237</v>
      </c>
      <c r="L68" s="19">
        <v>1065</v>
      </c>
      <c r="M68" s="28">
        <f t="shared" ca="1" si="1"/>
        <v>21</v>
      </c>
      <c r="N68" s="34" t="s">
        <v>237</v>
      </c>
      <c r="O68" s="19" t="str" cm="1">
        <f t="array" ref="O68">IF(N68="unknown",INDEX($N$3:$N$152,MODE(MATCH($N$3:$N$152,$N$3:$N$152,0))),N68)</f>
        <v>user125@example.com</v>
      </c>
    </row>
    <row r="69" spans="1:15" x14ac:dyDescent="0.35">
      <c r="A69" s="19" t="s">
        <v>75</v>
      </c>
      <c r="B69" s="19" t="s">
        <v>163</v>
      </c>
      <c r="C69" s="19" t="s">
        <v>338</v>
      </c>
      <c r="D69" s="19" t="s">
        <v>345</v>
      </c>
      <c r="E69" s="19">
        <v>96365</v>
      </c>
      <c r="F69" s="22" t="str">
        <f t="shared" si="3"/>
        <v>96365</v>
      </c>
      <c r="G69" s="19">
        <v>96365</v>
      </c>
      <c r="H69" s="20">
        <v>42470</v>
      </c>
      <c r="I69" s="19">
        <v>3</v>
      </c>
      <c r="J69" s="19" t="s">
        <v>179</v>
      </c>
      <c r="K69" s="19" t="s">
        <v>238</v>
      </c>
      <c r="L69" s="19">
        <v>1066</v>
      </c>
      <c r="M69" s="28">
        <f t="shared" ref="M69:M132" ca="1" si="4">IF(H69="Unknown",0,DATEDIF(H69, TODAY(), "MD"))</f>
        <v>14</v>
      </c>
      <c r="N69" s="34" t="s">
        <v>238</v>
      </c>
      <c r="O69" s="19" t="str" cm="1">
        <f t="array" ref="O69">IF(N69="unknown",INDEX($N$3:$N$152,MODE(MATCH($N$3:$N$152,$N$3:$N$152,0))),N69)</f>
        <v>user90@example.com</v>
      </c>
    </row>
    <row r="70" spans="1:15" x14ac:dyDescent="0.35">
      <c r="A70" s="19" t="s">
        <v>76</v>
      </c>
      <c r="B70" s="19" t="s">
        <v>160</v>
      </c>
      <c r="C70" s="19" t="s">
        <v>336</v>
      </c>
      <c r="D70" s="19" t="s">
        <v>343</v>
      </c>
      <c r="E70" s="19">
        <v>61942</v>
      </c>
      <c r="F70" s="22" t="str">
        <f t="shared" si="3"/>
        <v>61942</v>
      </c>
      <c r="G70" s="19">
        <v>61942</v>
      </c>
      <c r="H70" s="20">
        <v>42477</v>
      </c>
      <c r="I70" s="19">
        <v>3</v>
      </c>
      <c r="J70" s="19" t="s">
        <v>181</v>
      </c>
      <c r="K70" s="19" t="s">
        <v>239</v>
      </c>
      <c r="L70" s="19">
        <v>1067</v>
      </c>
      <c r="M70" s="28">
        <f t="shared" ca="1" si="4"/>
        <v>7</v>
      </c>
      <c r="N70" s="34" t="s">
        <v>239</v>
      </c>
      <c r="O70" s="19" t="str" cm="1">
        <f t="array" ref="O70">IF(N70="unknown",INDEX($N$3:$N$152,MODE(MATCH($N$3:$N$152,$N$3:$N$152,0))),N70)</f>
        <v>user192@example.com</v>
      </c>
    </row>
    <row r="71" spans="1:15" x14ac:dyDescent="0.35">
      <c r="A71" s="19" t="s">
        <v>77</v>
      </c>
      <c r="B71" s="19" t="s">
        <v>163</v>
      </c>
      <c r="C71" s="19" t="s">
        <v>335</v>
      </c>
      <c r="D71" s="19" t="s">
        <v>344</v>
      </c>
      <c r="E71" s="19">
        <v>41467</v>
      </c>
      <c r="F71" s="22" t="str">
        <f t="shared" si="3"/>
        <v>41467</v>
      </c>
      <c r="G71" s="19">
        <v>41467</v>
      </c>
      <c r="H71" s="20">
        <v>42484</v>
      </c>
      <c r="I71" s="19">
        <v>2</v>
      </c>
      <c r="J71" s="19" t="s">
        <v>178</v>
      </c>
      <c r="K71" s="19" t="s">
        <v>201</v>
      </c>
      <c r="L71" s="19">
        <v>1068</v>
      </c>
      <c r="M71" s="28">
        <f t="shared" ca="1" si="4"/>
        <v>0</v>
      </c>
      <c r="N71" s="34" t="s">
        <v>201</v>
      </c>
      <c r="O71" s="19" t="str" cm="1">
        <f t="array" ref="O71">IF(N71="unknown",INDEX($N$3:$N$152,MODE(MATCH($N$3:$N$152,$N$3:$N$152,0))),N71)</f>
        <v>user77@example.com</v>
      </c>
    </row>
    <row r="72" spans="1:15" x14ac:dyDescent="0.35">
      <c r="A72" s="19" t="s">
        <v>78</v>
      </c>
      <c r="B72" s="19" t="s">
        <v>165</v>
      </c>
      <c r="C72" s="19" t="s">
        <v>335</v>
      </c>
      <c r="D72" s="19" t="s">
        <v>343</v>
      </c>
      <c r="E72" s="19">
        <v>77096</v>
      </c>
      <c r="F72" s="22" t="str">
        <f t="shared" si="3"/>
        <v>77096</v>
      </c>
      <c r="G72" s="19">
        <v>77096</v>
      </c>
      <c r="H72" s="20">
        <v>42491</v>
      </c>
      <c r="I72" s="19">
        <v>1</v>
      </c>
      <c r="J72" s="19" t="s">
        <v>178</v>
      </c>
      <c r="K72" s="19" t="s">
        <v>240</v>
      </c>
      <c r="L72" s="19">
        <v>1069</v>
      </c>
      <c r="M72" s="28">
        <f t="shared" ca="1" si="4"/>
        <v>23</v>
      </c>
      <c r="N72" s="34" t="s">
        <v>240</v>
      </c>
      <c r="O72" s="19" t="str" cm="1">
        <f t="array" ref="O72">IF(N72="unknown",INDEX($N$3:$N$152,MODE(MATCH($N$3:$N$152,$N$3:$N$152,0))),N72)</f>
        <v>user65@example.com</v>
      </c>
    </row>
    <row r="73" spans="1:15" x14ac:dyDescent="0.35">
      <c r="A73" s="19" t="s">
        <v>79</v>
      </c>
      <c r="B73" s="19" t="s">
        <v>159</v>
      </c>
      <c r="C73" s="19" t="s">
        <v>336</v>
      </c>
      <c r="D73" s="19" t="s">
        <v>345</v>
      </c>
      <c r="E73" s="19">
        <v>69952</v>
      </c>
      <c r="F73" s="22" t="str">
        <f t="shared" si="3"/>
        <v>69952</v>
      </c>
      <c r="G73" s="19">
        <v>69952</v>
      </c>
      <c r="H73" s="20">
        <v>42498</v>
      </c>
      <c r="I73" s="19">
        <v>5</v>
      </c>
      <c r="J73" s="19" t="s">
        <v>181</v>
      </c>
      <c r="K73" s="19" t="s">
        <v>182</v>
      </c>
      <c r="L73" s="19">
        <v>1070</v>
      </c>
      <c r="M73" s="28">
        <f t="shared" ca="1" si="4"/>
        <v>16</v>
      </c>
      <c r="N73" s="34" t="s">
        <v>340</v>
      </c>
      <c r="O73" s="19" t="str" cm="1">
        <f t="array" ref="O73">IF(N73="unknown",INDEX($N$3:$N$152,MODE(MATCH($N$3:$N$152,$N$3:$N$152,0))),N73)</f>
        <v>unknown</v>
      </c>
    </row>
    <row r="74" spans="1:15" x14ac:dyDescent="0.35">
      <c r="A74" s="19" t="s">
        <v>80</v>
      </c>
      <c r="B74" s="19" t="s">
        <v>159</v>
      </c>
      <c r="C74" s="19" t="s">
        <v>337</v>
      </c>
      <c r="D74" s="19" t="s">
        <v>342</v>
      </c>
      <c r="E74" s="19">
        <v>85065</v>
      </c>
      <c r="F74" s="22" t="str">
        <f t="shared" si="3"/>
        <v>85065</v>
      </c>
      <c r="G74" s="19">
        <v>85065</v>
      </c>
      <c r="H74" s="20">
        <v>42505</v>
      </c>
      <c r="I74" s="19">
        <v>3</v>
      </c>
      <c r="J74" s="19" t="s">
        <v>178</v>
      </c>
      <c r="K74" s="19" t="s">
        <v>241</v>
      </c>
      <c r="L74" s="19">
        <v>1071</v>
      </c>
      <c r="M74" s="28">
        <f t="shared" ca="1" si="4"/>
        <v>9</v>
      </c>
      <c r="N74" s="34" t="s">
        <v>241</v>
      </c>
      <c r="O74" s="19" t="str" cm="1">
        <f t="array" ref="O74">IF(N74="unknown",INDEX($N$3:$N$152,MODE(MATCH($N$3:$N$152,$N$3:$N$152,0))),N74)</f>
        <v>user142@example.com</v>
      </c>
    </row>
    <row r="75" spans="1:15" x14ac:dyDescent="0.35">
      <c r="A75" s="19" t="s">
        <v>81</v>
      </c>
      <c r="B75" s="19" t="s">
        <v>165</v>
      </c>
      <c r="C75" s="19" t="s">
        <v>337</v>
      </c>
      <c r="D75" s="19" t="s">
        <v>343</v>
      </c>
      <c r="E75" s="19">
        <v>56512</v>
      </c>
      <c r="F75" s="22" t="str">
        <f t="shared" si="3"/>
        <v>56512</v>
      </c>
      <c r="G75" s="19">
        <v>56512</v>
      </c>
      <c r="H75" s="20">
        <v>42512</v>
      </c>
      <c r="I75" s="19">
        <v>3</v>
      </c>
      <c r="J75" s="19" t="s">
        <v>179</v>
      </c>
      <c r="K75" s="19" t="s">
        <v>190</v>
      </c>
      <c r="L75" s="19">
        <v>1072</v>
      </c>
      <c r="M75" s="28">
        <f t="shared" ca="1" si="4"/>
        <v>2</v>
      </c>
      <c r="N75" s="34" t="s">
        <v>190</v>
      </c>
      <c r="O75" s="19" t="str" cm="1">
        <f t="array" ref="O75">IF(N75="unknown",INDEX($N$3:$N$152,MODE(MATCH($N$3:$N$152,$N$3:$N$152,0))),N75)</f>
        <v>user153@example.com</v>
      </c>
    </row>
    <row r="76" spans="1:15" x14ac:dyDescent="0.35">
      <c r="A76" s="19" t="s">
        <v>82</v>
      </c>
      <c r="B76" s="19" t="s">
        <v>161</v>
      </c>
      <c r="C76" s="19" t="s">
        <v>336</v>
      </c>
      <c r="D76" s="19" t="s">
        <v>343</v>
      </c>
      <c r="E76" s="19">
        <v>91101</v>
      </c>
      <c r="F76" s="22" t="str">
        <f t="shared" si="3"/>
        <v>91101</v>
      </c>
      <c r="G76" s="19">
        <v>91101</v>
      </c>
      <c r="H76" s="20">
        <v>42519</v>
      </c>
      <c r="I76" s="19">
        <v>4</v>
      </c>
      <c r="J76" s="19" t="s">
        <v>181</v>
      </c>
      <c r="K76" s="19" t="s">
        <v>234</v>
      </c>
      <c r="L76" s="19">
        <v>1073</v>
      </c>
      <c r="M76" s="28">
        <f t="shared" ca="1" si="4"/>
        <v>26</v>
      </c>
      <c r="N76" s="34" t="s">
        <v>234</v>
      </c>
      <c r="O76" s="19" t="str" cm="1">
        <f t="array" ref="O76">IF(N76="unknown",INDEX($N$3:$N$152,MODE(MATCH($N$3:$N$152,$N$3:$N$152,0))),N76)</f>
        <v>user71@example.com</v>
      </c>
    </row>
    <row r="77" spans="1:15" x14ac:dyDescent="0.35">
      <c r="A77" s="19" t="s">
        <v>83</v>
      </c>
      <c r="B77" s="19" t="s">
        <v>163</v>
      </c>
      <c r="C77" s="19" t="s">
        <v>338</v>
      </c>
      <c r="D77" s="19" t="s">
        <v>341</v>
      </c>
      <c r="E77" s="19">
        <v>41243</v>
      </c>
      <c r="F77" s="22" t="str">
        <f t="shared" si="3"/>
        <v>41243</v>
      </c>
      <c r="G77" s="19">
        <v>41243</v>
      </c>
      <c r="H77" s="20">
        <v>42526</v>
      </c>
      <c r="I77" s="19">
        <v>3</v>
      </c>
      <c r="J77" s="19" t="s">
        <v>178</v>
      </c>
      <c r="K77" s="19" t="s">
        <v>211</v>
      </c>
      <c r="L77" s="19">
        <v>1074</v>
      </c>
      <c r="M77" s="28">
        <f t="shared" ca="1" si="4"/>
        <v>19</v>
      </c>
      <c r="N77" s="34" t="s">
        <v>211</v>
      </c>
      <c r="O77" s="19" t="str" cm="1">
        <f t="array" ref="O77">IF(N77="unknown",INDEX($N$3:$N$152,MODE(MATCH($N$3:$N$152,$N$3:$N$152,0))),N77)</f>
        <v>user143@example.com</v>
      </c>
    </row>
    <row r="78" spans="1:15" x14ac:dyDescent="0.35">
      <c r="A78" s="19" t="s">
        <v>84</v>
      </c>
      <c r="B78" s="19" t="s">
        <v>178</v>
      </c>
      <c r="C78" s="19" t="s">
        <v>336</v>
      </c>
      <c r="D78" s="19" t="s">
        <v>340</v>
      </c>
      <c r="E78" s="19">
        <v>96142</v>
      </c>
      <c r="F78" s="22" t="str">
        <f t="shared" si="3"/>
        <v>96142</v>
      </c>
      <c r="G78" s="19">
        <v>96142</v>
      </c>
      <c r="H78" s="20">
        <v>42533</v>
      </c>
      <c r="I78" s="19">
        <v>1</v>
      </c>
      <c r="J78" s="19" t="s">
        <v>179</v>
      </c>
      <c r="K78" s="19" t="s">
        <v>242</v>
      </c>
      <c r="L78" s="19">
        <v>1075</v>
      </c>
      <c r="M78" s="28">
        <f t="shared" ca="1" si="4"/>
        <v>12</v>
      </c>
      <c r="N78" s="34" t="s">
        <v>242</v>
      </c>
      <c r="O78" s="19" t="str" cm="1">
        <f t="array" ref="O78">IF(N78="unknown",INDEX($N$3:$N$152,MODE(MATCH($N$3:$N$152,$N$3:$N$152,0))),N78)</f>
        <v>user17@example.com</v>
      </c>
    </row>
    <row r="79" spans="1:15" x14ac:dyDescent="0.35">
      <c r="A79" s="19" t="s">
        <v>85</v>
      </c>
      <c r="B79" s="19" t="s">
        <v>159</v>
      </c>
      <c r="C79" s="19" t="s">
        <v>169</v>
      </c>
      <c r="D79" s="19" t="s">
        <v>343</v>
      </c>
      <c r="E79" s="19">
        <v>94301</v>
      </c>
      <c r="F79" s="22" t="str">
        <f t="shared" si="3"/>
        <v>94301</v>
      </c>
      <c r="G79" s="19">
        <v>94301</v>
      </c>
      <c r="H79" s="20">
        <v>42540</v>
      </c>
      <c r="I79" s="19">
        <v>1</v>
      </c>
      <c r="J79" s="19" t="s">
        <v>180</v>
      </c>
      <c r="K79" s="19" t="s">
        <v>223</v>
      </c>
      <c r="L79" s="19">
        <v>1076</v>
      </c>
      <c r="M79" s="28">
        <f t="shared" ca="1" si="4"/>
        <v>5</v>
      </c>
      <c r="N79" s="34" t="s">
        <v>223</v>
      </c>
      <c r="O79" s="19" t="str" cm="1">
        <f t="array" ref="O79">IF(N79="unknown",INDEX($N$3:$N$152,MODE(MATCH($N$3:$N$152,$N$3:$N$152,0))),N79)</f>
        <v>user20@example.com</v>
      </c>
    </row>
    <row r="80" spans="1:15" x14ac:dyDescent="0.35">
      <c r="A80" s="19" t="s">
        <v>86</v>
      </c>
      <c r="B80" s="19" t="s">
        <v>162</v>
      </c>
      <c r="C80" s="19" t="s">
        <v>338</v>
      </c>
      <c r="D80" s="19" t="s">
        <v>344</v>
      </c>
      <c r="E80" s="19">
        <v>69166</v>
      </c>
      <c r="F80" s="22" t="str">
        <f t="shared" si="3"/>
        <v>69166</v>
      </c>
      <c r="G80" s="19">
        <v>69166</v>
      </c>
      <c r="H80" s="20">
        <v>42547</v>
      </c>
      <c r="I80" s="19">
        <v>1</v>
      </c>
      <c r="J80" s="19" t="s">
        <v>181</v>
      </c>
      <c r="K80" s="19" t="s">
        <v>243</v>
      </c>
      <c r="L80" s="19">
        <v>1077</v>
      </c>
      <c r="M80" s="28">
        <f t="shared" ca="1" si="4"/>
        <v>29</v>
      </c>
      <c r="N80" s="34" t="s">
        <v>243</v>
      </c>
      <c r="O80" s="19" t="str" cm="1">
        <f t="array" ref="O80">IF(N80="unknown",INDEX($N$3:$N$152,MODE(MATCH($N$3:$N$152,$N$3:$N$152,0))),N80)</f>
        <v>user22@example.com</v>
      </c>
    </row>
    <row r="81" spans="1:15" x14ac:dyDescent="0.35">
      <c r="A81" s="19" t="s">
        <v>87</v>
      </c>
      <c r="B81" s="19" t="s">
        <v>163</v>
      </c>
      <c r="C81" s="19" t="s">
        <v>338</v>
      </c>
      <c r="D81" s="19" t="s">
        <v>344</v>
      </c>
      <c r="E81" s="19">
        <v>78245</v>
      </c>
      <c r="F81" s="22" t="str">
        <f t="shared" si="3"/>
        <v>78245</v>
      </c>
      <c r="G81" s="19">
        <v>78245</v>
      </c>
      <c r="H81" s="20">
        <v>42554</v>
      </c>
      <c r="I81" s="19">
        <v>2</v>
      </c>
      <c r="J81" s="19" t="s">
        <v>178</v>
      </c>
      <c r="K81" s="19" t="s">
        <v>244</v>
      </c>
      <c r="L81" s="19">
        <v>1078</v>
      </c>
      <c r="M81" s="28">
        <f t="shared" ca="1" si="4"/>
        <v>21</v>
      </c>
      <c r="N81" s="34" t="s">
        <v>244</v>
      </c>
      <c r="O81" s="19" t="str" cm="1">
        <f t="array" ref="O81">IF(N81="unknown",INDEX($N$3:$N$152,MODE(MATCH($N$3:$N$152,$N$3:$N$152,0))),N81)</f>
        <v>user46@example.com</v>
      </c>
    </row>
    <row r="82" spans="1:15" x14ac:dyDescent="0.35">
      <c r="A82" s="19" t="s">
        <v>88</v>
      </c>
      <c r="B82" s="19" t="s">
        <v>164</v>
      </c>
      <c r="C82" s="19" t="s">
        <v>336</v>
      </c>
      <c r="D82" s="19" t="s">
        <v>342</v>
      </c>
      <c r="E82" s="19">
        <v>66079</v>
      </c>
      <c r="F82" s="22" t="str">
        <f t="shared" si="3"/>
        <v>66079</v>
      </c>
      <c r="G82" s="19">
        <v>66079</v>
      </c>
      <c r="H82" s="20">
        <v>42561</v>
      </c>
      <c r="I82" s="19">
        <v>2</v>
      </c>
      <c r="J82" s="19" t="s">
        <v>179</v>
      </c>
      <c r="K82" s="19" t="s">
        <v>245</v>
      </c>
      <c r="L82" s="19">
        <v>1079</v>
      </c>
      <c r="M82" s="28">
        <f t="shared" ca="1" si="4"/>
        <v>14</v>
      </c>
      <c r="N82" s="34" t="s">
        <v>245</v>
      </c>
      <c r="O82" s="19" t="str" cm="1">
        <f t="array" ref="O82">IF(N82="unknown",INDEX($N$3:$N$152,MODE(MATCH($N$3:$N$152,$N$3:$N$152,0))),N82)</f>
        <v>user55@example.com</v>
      </c>
    </row>
    <row r="83" spans="1:15" x14ac:dyDescent="0.35">
      <c r="A83" s="19" t="s">
        <v>89</v>
      </c>
      <c r="B83" s="19" t="s">
        <v>159</v>
      </c>
      <c r="C83" s="19" t="s">
        <v>337</v>
      </c>
      <c r="D83" s="19" t="s">
        <v>343</v>
      </c>
      <c r="E83" s="19" t="s">
        <v>177</v>
      </c>
      <c r="F83" s="22" t="str">
        <f t="shared" si="3"/>
        <v>0</v>
      </c>
      <c r="G83" s="19">
        <v>63687</v>
      </c>
      <c r="H83" s="20" t="s">
        <v>178</v>
      </c>
      <c r="I83" s="19">
        <v>3</v>
      </c>
      <c r="J83" s="19" t="s">
        <v>178</v>
      </c>
      <c r="K83" s="19" t="s">
        <v>208</v>
      </c>
      <c r="L83" s="19">
        <v>1080</v>
      </c>
      <c r="M83" s="28">
        <f t="shared" ca="1" si="4"/>
        <v>0</v>
      </c>
      <c r="N83" s="34" t="s">
        <v>208</v>
      </c>
      <c r="O83" s="19" t="str" cm="1">
        <f t="array" ref="O83">IF(N83="unknown",INDEX($N$3:$N$152,MODE(MATCH($N$3:$N$152,$N$3:$N$152,0))),N83)</f>
        <v>user135@example.com</v>
      </c>
    </row>
    <row r="84" spans="1:15" x14ac:dyDescent="0.35">
      <c r="A84" s="19" t="s">
        <v>90</v>
      </c>
      <c r="B84" s="19" t="s">
        <v>162</v>
      </c>
      <c r="C84" s="19" t="s">
        <v>336</v>
      </c>
      <c r="D84" s="19" t="s">
        <v>342</v>
      </c>
      <c r="E84" s="19">
        <v>95621</v>
      </c>
      <c r="F84" s="22" t="str">
        <f t="shared" si="3"/>
        <v>95621</v>
      </c>
      <c r="G84" s="19">
        <v>95621</v>
      </c>
      <c r="H84" s="20">
        <v>42575</v>
      </c>
      <c r="I84" s="19">
        <v>3</v>
      </c>
      <c r="J84" s="19" t="s">
        <v>181</v>
      </c>
      <c r="K84" s="19" t="s">
        <v>246</v>
      </c>
      <c r="L84" s="19">
        <v>1081</v>
      </c>
      <c r="M84" s="28">
        <f t="shared" ca="1" si="4"/>
        <v>0</v>
      </c>
      <c r="N84" s="34" t="s">
        <v>246</v>
      </c>
      <c r="O84" s="19" t="str" cm="1">
        <f t="array" ref="O84">IF(N84="unknown",INDEX($N$3:$N$152,MODE(MATCH($N$3:$N$152,$N$3:$N$152,0))),N84)</f>
        <v>user156@example.com</v>
      </c>
    </row>
    <row r="85" spans="1:15" x14ac:dyDescent="0.35">
      <c r="A85" s="19" t="s">
        <v>91</v>
      </c>
      <c r="B85" s="19" t="s">
        <v>159</v>
      </c>
      <c r="C85" s="19" t="s">
        <v>169</v>
      </c>
      <c r="D85" s="19" t="s">
        <v>344</v>
      </c>
      <c r="E85" s="19">
        <v>42262</v>
      </c>
      <c r="F85" s="22" t="str">
        <f t="shared" si="3"/>
        <v>42262</v>
      </c>
      <c r="G85" s="19">
        <v>42262</v>
      </c>
      <c r="H85" s="20">
        <v>42582</v>
      </c>
      <c r="I85" s="19">
        <v>1</v>
      </c>
      <c r="J85" s="19" t="s">
        <v>178</v>
      </c>
      <c r="K85" s="19" t="s">
        <v>247</v>
      </c>
      <c r="L85" s="19">
        <v>1082</v>
      </c>
      <c r="M85" s="28">
        <f t="shared" ca="1" si="4"/>
        <v>24</v>
      </c>
      <c r="N85" s="34" t="s">
        <v>247</v>
      </c>
      <c r="O85" s="19" t="str" cm="1">
        <f t="array" ref="O85">IF(N85="unknown",INDEX($N$3:$N$152,MODE(MATCH($N$3:$N$152,$N$3:$N$152,0))),N85)</f>
        <v>user104@example.com</v>
      </c>
    </row>
    <row r="86" spans="1:15" x14ac:dyDescent="0.35">
      <c r="A86" s="19" t="s">
        <v>92</v>
      </c>
      <c r="B86" s="19" t="s">
        <v>163</v>
      </c>
      <c r="C86" s="19" t="s">
        <v>336</v>
      </c>
      <c r="D86" s="19" t="s">
        <v>343</v>
      </c>
      <c r="E86" s="19">
        <v>99621</v>
      </c>
      <c r="F86" s="22" t="str">
        <f t="shared" si="3"/>
        <v>99621</v>
      </c>
      <c r="G86" s="19">
        <v>99621</v>
      </c>
      <c r="H86" s="20">
        <v>42589</v>
      </c>
      <c r="I86" s="19">
        <v>3</v>
      </c>
      <c r="J86" s="19" t="s">
        <v>179</v>
      </c>
      <c r="K86" s="19" t="s">
        <v>248</v>
      </c>
      <c r="L86" s="19">
        <v>1083</v>
      </c>
      <c r="M86" s="28">
        <f t="shared" ca="1" si="4"/>
        <v>17</v>
      </c>
      <c r="N86" s="34" t="s">
        <v>248</v>
      </c>
      <c r="O86" s="19" t="str" cm="1">
        <f t="array" ref="O86">IF(N86="unknown",INDEX($N$3:$N$152,MODE(MATCH($N$3:$N$152,$N$3:$N$152,0))),N86)</f>
        <v>user145@example.com</v>
      </c>
    </row>
    <row r="87" spans="1:15" x14ac:dyDescent="0.35">
      <c r="A87" s="19" t="s">
        <v>93</v>
      </c>
      <c r="B87" s="19" t="s">
        <v>161</v>
      </c>
      <c r="C87" s="19" t="s">
        <v>337</v>
      </c>
      <c r="D87" s="19" t="s">
        <v>343</v>
      </c>
      <c r="E87" s="19">
        <v>44682</v>
      </c>
      <c r="F87" s="22" t="str">
        <f t="shared" si="3"/>
        <v>44682</v>
      </c>
      <c r="G87" s="19">
        <v>44682</v>
      </c>
      <c r="H87" s="20">
        <v>42596</v>
      </c>
      <c r="I87" s="19">
        <v>4</v>
      </c>
      <c r="J87" s="19" t="s">
        <v>181</v>
      </c>
      <c r="K87" s="19" t="s">
        <v>220</v>
      </c>
      <c r="L87" s="19">
        <v>1084</v>
      </c>
      <c r="M87" s="28">
        <f t="shared" ca="1" si="4"/>
        <v>10</v>
      </c>
      <c r="N87" s="34" t="s">
        <v>220</v>
      </c>
      <c r="O87" s="19" t="str" cm="1">
        <f t="array" ref="O87">IF(N87="unknown",INDEX($N$3:$N$152,MODE(MATCH($N$3:$N$152,$N$3:$N$152,0))),N87)</f>
        <v>user47@example.com</v>
      </c>
    </row>
    <row r="88" spans="1:15" x14ac:dyDescent="0.35">
      <c r="A88" s="19" t="s">
        <v>94</v>
      </c>
      <c r="B88" s="19" t="s">
        <v>164</v>
      </c>
      <c r="C88" s="19" t="s">
        <v>335</v>
      </c>
      <c r="D88" s="19" t="s">
        <v>340</v>
      </c>
      <c r="E88" s="19">
        <v>35163</v>
      </c>
      <c r="F88" s="22" t="str">
        <f t="shared" si="3"/>
        <v>35163</v>
      </c>
      <c r="G88" s="19">
        <v>35163</v>
      </c>
      <c r="H88" s="20">
        <v>42603</v>
      </c>
      <c r="I88" s="19">
        <v>5</v>
      </c>
      <c r="J88" s="19" t="s">
        <v>179</v>
      </c>
      <c r="K88" s="19" t="s">
        <v>249</v>
      </c>
      <c r="L88" s="19">
        <v>1085</v>
      </c>
      <c r="M88" s="28">
        <f t="shared" ca="1" si="4"/>
        <v>3</v>
      </c>
      <c r="N88" s="34" t="s">
        <v>249</v>
      </c>
      <c r="O88" s="19" t="str" cm="1">
        <f t="array" ref="O88">IF(N88="unknown",INDEX($N$3:$N$152,MODE(MATCH($N$3:$N$152,$N$3:$N$152,0))),N88)</f>
        <v>user197@example.com</v>
      </c>
    </row>
    <row r="89" spans="1:15" x14ac:dyDescent="0.35">
      <c r="A89" s="19" t="s">
        <v>95</v>
      </c>
      <c r="B89" s="19" t="s">
        <v>164</v>
      </c>
      <c r="C89" s="19" t="s">
        <v>169</v>
      </c>
      <c r="D89" s="19" t="s">
        <v>343</v>
      </c>
      <c r="E89" s="19">
        <v>33483</v>
      </c>
      <c r="F89" s="22" t="str">
        <f t="shared" si="3"/>
        <v>33483</v>
      </c>
      <c r="G89" s="19">
        <v>33483</v>
      </c>
      <c r="H89" s="20">
        <v>42610</v>
      </c>
      <c r="I89" s="19">
        <v>4</v>
      </c>
      <c r="J89" s="19" t="s">
        <v>180</v>
      </c>
      <c r="K89" s="19" t="s">
        <v>250</v>
      </c>
      <c r="L89" s="19">
        <v>1086</v>
      </c>
      <c r="M89" s="28">
        <f t="shared" ca="1" si="4"/>
        <v>27</v>
      </c>
      <c r="N89" s="34" t="s">
        <v>250</v>
      </c>
      <c r="O89" s="19" t="str" cm="1">
        <f t="array" ref="O89">IF(N89="unknown",INDEX($N$3:$N$152,MODE(MATCH($N$3:$N$152,$N$3:$N$152,0))),N89)</f>
        <v>user177@example.com</v>
      </c>
    </row>
    <row r="90" spans="1:15" x14ac:dyDescent="0.35">
      <c r="A90" s="19" t="s">
        <v>96</v>
      </c>
      <c r="B90" s="19" t="s">
        <v>163</v>
      </c>
      <c r="C90" s="19" t="s">
        <v>167</v>
      </c>
      <c r="D90" s="19" t="s">
        <v>341</v>
      </c>
      <c r="E90" s="19">
        <v>55303</v>
      </c>
      <c r="F90" s="22" t="str">
        <f t="shared" si="3"/>
        <v>55303</v>
      </c>
      <c r="G90" s="19">
        <v>55303</v>
      </c>
      <c r="H90" s="20">
        <v>42617</v>
      </c>
      <c r="I90" s="19">
        <v>4</v>
      </c>
      <c r="J90" s="19" t="s">
        <v>180</v>
      </c>
      <c r="K90" s="19" t="s">
        <v>203</v>
      </c>
      <c r="L90" s="19">
        <v>1087</v>
      </c>
      <c r="M90" s="28">
        <f t="shared" ca="1" si="4"/>
        <v>20</v>
      </c>
      <c r="N90" s="34" t="s">
        <v>203</v>
      </c>
      <c r="O90" s="19" t="str" cm="1">
        <f t="array" ref="O90">IF(N90="unknown",INDEX($N$3:$N$152,MODE(MATCH($N$3:$N$152,$N$3:$N$152,0))),N90)</f>
        <v>user149@example.com</v>
      </c>
    </row>
    <row r="91" spans="1:15" x14ac:dyDescent="0.35">
      <c r="A91" s="19" t="s">
        <v>97</v>
      </c>
      <c r="B91" s="19" t="s">
        <v>164</v>
      </c>
      <c r="C91" s="19" t="s">
        <v>169</v>
      </c>
      <c r="D91" s="19" t="s">
        <v>340</v>
      </c>
      <c r="E91" s="19">
        <v>63434</v>
      </c>
      <c r="F91" s="22" t="str">
        <f t="shared" si="3"/>
        <v>63434</v>
      </c>
      <c r="G91" s="19">
        <v>63434</v>
      </c>
      <c r="H91" s="20">
        <v>42624</v>
      </c>
      <c r="I91" s="19">
        <v>3</v>
      </c>
      <c r="J91" s="19" t="s">
        <v>178</v>
      </c>
      <c r="K91" s="19" t="s">
        <v>251</v>
      </c>
      <c r="L91" s="19">
        <v>1088</v>
      </c>
      <c r="M91" s="28">
        <f t="shared" ca="1" si="4"/>
        <v>13</v>
      </c>
      <c r="N91" s="34" t="s">
        <v>251</v>
      </c>
      <c r="O91" s="19" t="str" cm="1">
        <f t="array" ref="O91">IF(N91="unknown",INDEX($N$3:$N$152,MODE(MATCH($N$3:$N$152,$N$3:$N$152,0))),N91)</f>
        <v>user48@example.com</v>
      </c>
    </row>
    <row r="92" spans="1:15" x14ac:dyDescent="0.35">
      <c r="A92" s="19" t="s">
        <v>98</v>
      </c>
      <c r="B92" s="19" t="s">
        <v>162</v>
      </c>
      <c r="C92" s="19" t="s">
        <v>338</v>
      </c>
      <c r="D92" s="19" t="s">
        <v>345</v>
      </c>
      <c r="E92" s="19">
        <v>38830</v>
      </c>
      <c r="F92" s="22" t="str">
        <f t="shared" si="3"/>
        <v>38830</v>
      </c>
      <c r="G92" s="19">
        <v>38830</v>
      </c>
      <c r="H92" s="20">
        <v>42631</v>
      </c>
      <c r="I92" s="19">
        <v>3</v>
      </c>
      <c r="J92" s="19" t="s">
        <v>179</v>
      </c>
      <c r="K92" s="19" t="s">
        <v>203</v>
      </c>
      <c r="L92" s="19">
        <v>1089</v>
      </c>
      <c r="M92" s="28">
        <f t="shared" ca="1" si="4"/>
        <v>6</v>
      </c>
      <c r="N92" s="34" t="s">
        <v>203</v>
      </c>
      <c r="O92" s="19" t="str" cm="1">
        <f t="array" ref="O92">IF(N92="unknown",INDEX($N$3:$N$152,MODE(MATCH($N$3:$N$152,$N$3:$N$152,0))),N92)</f>
        <v>user149@example.com</v>
      </c>
    </row>
    <row r="93" spans="1:15" x14ac:dyDescent="0.35">
      <c r="A93" s="19" t="s">
        <v>99</v>
      </c>
      <c r="B93" s="19" t="s">
        <v>178</v>
      </c>
      <c r="C93" s="19" t="s">
        <v>337</v>
      </c>
      <c r="D93" s="19" t="s">
        <v>344</v>
      </c>
      <c r="E93" s="19">
        <v>50741</v>
      </c>
      <c r="F93" s="22" t="str">
        <f t="shared" si="3"/>
        <v>50741</v>
      </c>
      <c r="G93" s="19">
        <v>50741</v>
      </c>
      <c r="H93" s="20">
        <v>42638</v>
      </c>
      <c r="I93" s="19">
        <v>3</v>
      </c>
      <c r="J93" s="19" t="s">
        <v>178</v>
      </c>
      <c r="K93" s="19" t="s">
        <v>240</v>
      </c>
      <c r="L93" s="19">
        <v>1090</v>
      </c>
      <c r="M93" s="28">
        <f t="shared" ca="1" si="4"/>
        <v>30</v>
      </c>
      <c r="N93" s="34" t="s">
        <v>240</v>
      </c>
      <c r="O93" s="19" t="str" cm="1">
        <f t="array" ref="O93">IF(N93="unknown",INDEX($N$3:$N$152,MODE(MATCH($N$3:$N$152,$N$3:$N$152,0))),N93)</f>
        <v>user65@example.com</v>
      </c>
    </row>
    <row r="94" spans="1:15" x14ac:dyDescent="0.35">
      <c r="A94" s="19" t="s">
        <v>100</v>
      </c>
      <c r="B94" s="19" t="s">
        <v>160</v>
      </c>
      <c r="C94" s="19" t="s">
        <v>167</v>
      </c>
      <c r="D94" s="19" t="s">
        <v>345</v>
      </c>
      <c r="E94" s="19">
        <v>69420</v>
      </c>
      <c r="F94" s="22" t="str">
        <f t="shared" si="3"/>
        <v>69420</v>
      </c>
      <c r="G94" s="19">
        <v>69420</v>
      </c>
      <c r="H94" s="20">
        <v>42645</v>
      </c>
      <c r="I94" s="19">
        <v>1</v>
      </c>
      <c r="J94" s="19" t="s">
        <v>180</v>
      </c>
      <c r="K94" s="19" t="s">
        <v>225</v>
      </c>
      <c r="L94" s="19">
        <v>1091</v>
      </c>
      <c r="M94" s="28">
        <f t="shared" ca="1" si="4"/>
        <v>22</v>
      </c>
      <c r="N94" s="34" t="s">
        <v>225</v>
      </c>
      <c r="O94" s="19" t="str" cm="1">
        <f t="array" ref="O94">IF(N94="unknown",INDEX($N$3:$N$152,MODE(MATCH($N$3:$N$152,$N$3:$N$152,0))),N94)</f>
        <v>user43@example.com</v>
      </c>
    </row>
    <row r="95" spans="1:15" x14ac:dyDescent="0.35">
      <c r="A95" s="19" t="s">
        <v>101</v>
      </c>
      <c r="B95" s="19" t="s">
        <v>162</v>
      </c>
      <c r="C95" s="19" t="s">
        <v>169</v>
      </c>
      <c r="D95" s="19" t="s">
        <v>340</v>
      </c>
      <c r="E95" s="19">
        <v>80588</v>
      </c>
      <c r="F95" s="22" t="str">
        <f t="shared" si="3"/>
        <v>80588</v>
      </c>
      <c r="G95" s="19">
        <v>80588</v>
      </c>
      <c r="H95" s="20">
        <v>42652</v>
      </c>
      <c r="I95" s="19">
        <v>5</v>
      </c>
      <c r="J95" s="19" t="s">
        <v>180</v>
      </c>
      <c r="K95" s="19" t="s">
        <v>216</v>
      </c>
      <c r="L95" s="19">
        <v>1092</v>
      </c>
      <c r="M95" s="28">
        <f t="shared" ca="1" si="4"/>
        <v>15</v>
      </c>
      <c r="N95" s="34" t="s">
        <v>216</v>
      </c>
      <c r="O95" s="19" t="str" cm="1">
        <f t="array" ref="O95">IF(N95="unknown",INDEX($N$3:$N$152,MODE(MATCH($N$3:$N$152,$N$3:$N$152,0))),N95)</f>
        <v>user98@example.com</v>
      </c>
    </row>
    <row r="96" spans="1:15" x14ac:dyDescent="0.35">
      <c r="A96" s="19" t="s">
        <v>102</v>
      </c>
      <c r="B96" s="19" t="s">
        <v>160</v>
      </c>
      <c r="C96" s="19" t="s">
        <v>338</v>
      </c>
      <c r="D96" s="19" t="s">
        <v>342</v>
      </c>
      <c r="E96" s="19">
        <v>76238</v>
      </c>
      <c r="F96" s="22" t="str">
        <f t="shared" si="3"/>
        <v>76238</v>
      </c>
      <c r="G96" s="19">
        <v>76238</v>
      </c>
      <c r="H96" s="20">
        <v>42659</v>
      </c>
      <c r="I96" s="19">
        <v>4</v>
      </c>
      <c r="J96" s="19" t="s">
        <v>180</v>
      </c>
      <c r="K96" s="19" t="s">
        <v>252</v>
      </c>
      <c r="L96" s="19">
        <v>1093</v>
      </c>
      <c r="M96" s="28">
        <f t="shared" ca="1" si="4"/>
        <v>8</v>
      </c>
      <c r="N96" s="34" t="s">
        <v>252</v>
      </c>
      <c r="O96" s="19" t="str" cm="1">
        <f t="array" ref="O96">IF(N96="unknown",INDEX($N$3:$N$152,MODE(MATCH($N$3:$N$152,$N$3:$N$152,0))),N96)</f>
        <v>user102@example.com</v>
      </c>
    </row>
    <row r="97" spans="1:15" x14ac:dyDescent="0.35">
      <c r="A97" s="19" t="s">
        <v>103</v>
      </c>
      <c r="B97" s="19" t="s">
        <v>165</v>
      </c>
      <c r="C97" s="19" t="s">
        <v>169</v>
      </c>
      <c r="D97" s="19" t="s">
        <v>343</v>
      </c>
      <c r="E97" s="19">
        <v>33264</v>
      </c>
      <c r="F97" s="22" t="str">
        <f t="shared" si="3"/>
        <v>33264</v>
      </c>
      <c r="G97" s="19">
        <v>33264</v>
      </c>
      <c r="H97" s="20">
        <v>42666</v>
      </c>
      <c r="I97" s="19">
        <v>3</v>
      </c>
      <c r="J97" s="19" t="s">
        <v>181</v>
      </c>
      <c r="K97" s="19" t="s">
        <v>253</v>
      </c>
      <c r="L97" s="19">
        <v>1094</v>
      </c>
      <c r="M97" s="28">
        <f t="shared" ca="1" si="4"/>
        <v>1</v>
      </c>
      <c r="N97" s="34" t="s">
        <v>253</v>
      </c>
      <c r="O97" s="19" t="str" cm="1">
        <f t="array" ref="O97">IF(N97="unknown",INDEX($N$3:$N$152,MODE(MATCH($N$3:$N$152,$N$3:$N$152,0))),N97)</f>
        <v>user148@example.com</v>
      </c>
    </row>
    <row r="98" spans="1:15" x14ac:dyDescent="0.35">
      <c r="A98" s="19" t="s">
        <v>104</v>
      </c>
      <c r="B98" s="19" t="s">
        <v>160</v>
      </c>
      <c r="C98" s="19" t="s">
        <v>335</v>
      </c>
      <c r="D98" s="19" t="s">
        <v>345</v>
      </c>
      <c r="E98" s="19">
        <v>96101</v>
      </c>
      <c r="F98" s="22" t="str">
        <f t="shared" si="3"/>
        <v>96101</v>
      </c>
      <c r="G98" s="19">
        <v>96101</v>
      </c>
      <c r="H98" s="20">
        <v>42673</v>
      </c>
      <c r="I98" s="19">
        <v>3</v>
      </c>
      <c r="J98" s="19" t="s">
        <v>179</v>
      </c>
      <c r="K98" s="19" t="s">
        <v>254</v>
      </c>
      <c r="L98" s="19">
        <v>1095</v>
      </c>
      <c r="M98" s="28">
        <f t="shared" ca="1" si="4"/>
        <v>25</v>
      </c>
      <c r="N98" s="34" t="s">
        <v>254</v>
      </c>
      <c r="O98" s="19" t="str" cm="1">
        <f t="array" ref="O98">IF(N98="unknown",INDEX($N$3:$N$152,MODE(MATCH($N$3:$N$152,$N$3:$N$152,0))),N98)</f>
        <v>user155@example.com</v>
      </c>
    </row>
    <row r="99" spans="1:15" x14ac:dyDescent="0.35">
      <c r="A99" s="19" t="s">
        <v>105</v>
      </c>
      <c r="B99" s="19" t="s">
        <v>162</v>
      </c>
      <c r="C99" s="19" t="s">
        <v>335</v>
      </c>
      <c r="D99" s="19" t="s">
        <v>342</v>
      </c>
      <c r="E99" s="19">
        <v>72939</v>
      </c>
      <c r="F99" s="22" t="str">
        <f t="shared" ref="F99:F130" si="5">SUBSTITUTE(E99,"N/A","0")</f>
        <v>72939</v>
      </c>
      <c r="G99" s="19">
        <v>72939</v>
      </c>
      <c r="H99" s="20">
        <v>42680</v>
      </c>
      <c r="I99" s="19">
        <v>3</v>
      </c>
      <c r="J99" s="19" t="s">
        <v>178</v>
      </c>
      <c r="K99" s="19" t="s">
        <v>255</v>
      </c>
      <c r="L99" s="19">
        <v>1096</v>
      </c>
      <c r="M99" s="28">
        <f t="shared" ca="1" si="4"/>
        <v>18</v>
      </c>
      <c r="N99" s="34" t="s">
        <v>255</v>
      </c>
      <c r="O99" s="19" t="str" cm="1">
        <f t="array" ref="O99">IF(N99="unknown",INDEX($N$3:$N$152,MODE(MATCH($N$3:$N$152,$N$3:$N$152,0))),N99)</f>
        <v>user191@example.com</v>
      </c>
    </row>
    <row r="100" spans="1:15" x14ac:dyDescent="0.35">
      <c r="A100" s="19" t="s">
        <v>106</v>
      </c>
      <c r="B100" s="19" t="s">
        <v>163</v>
      </c>
      <c r="C100" s="19" t="s">
        <v>167</v>
      </c>
      <c r="D100" s="19" t="s">
        <v>341</v>
      </c>
      <c r="E100" s="19">
        <v>89333</v>
      </c>
      <c r="F100" s="22" t="str">
        <f t="shared" si="5"/>
        <v>89333</v>
      </c>
      <c r="G100" s="19">
        <v>89333</v>
      </c>
      <c r="H100" s="20">
        <v>42687</v>
      </c>
      <c r="I100" s="19">
        <v>1</v>
      </c>
      <c r="J100" s="19" t="s">
        <v>180</v>
      </c>
      <c r="K100" s="19" t="s">
        <v>256</v>
      </c>
      <c r="L100" s="19">
        <v>1097</v>
      </c>
      <c r="M100" s="28">
        <f t="shared" ca="1" si="4"/>
        <v>11</v>
      </c>
      <c r="N100" s="34" t="s">
        <v>256</v>
      </c>
      <c r="O100" s="19" t="str" cm="1">
        <f t="array" ref="O100">IF(N100="unknown",INDEX($N$3:$N$152,MODE(MATCH($N$3:$N$152,$N$3:$N$152,0))),N100)</f>
        <v>user113@example.com</v>
      </c>
    </row>
    <row r="101" spans="1:15" x14ac:dyDescent="0.35">
      <c r="A101" s="19" t="s">
        <v>107</v>
      </c>
      <c r="B101" s="19" t="s">
        <v>165</v>
      </c>
      <c r="C101" s="19" t="s">
        <v>169</v>
      </c>
      <c r="D101" s="19" t="s">
        <v>345</v>
      </c>
      <c r="E101" s="19">
        <v>70470</v>
      </c>
      <c r="F101" s="22" t="str">
        <f t="shared" si="5"/>
        <v>70470</v>
      </c>
      <c r="G101" s="19">
        <v>70470</v>
      </c>
      <c r="H101" s="20">
        <v>42694</v>
      </c>
      <c r="I101" s="19">
        <v>3</v>
      </c>
      <c r="J101" s="19" t="s">
        <v>180</v>
      </c>
      <c r="K101" s="19" t="s">
        <v>257</v>
      </c>
      <c r="L101" s="19">
        <v>1098</v>
      </c>
      <c r="M101" s="28">
        <f t="shared" ca="1" si="4"/>
        <v>4</v>
      </c>
      <c r="N101" s="34" t="s">
        <v>257</v>
      </c>
      <c r="O101" s="19" t="str" cm="1">
        <f t="array" ref="O101">IF(N101="unknown",INDEX($N$3:$N$152,MODE(MATCH($N$3:$N$152,$N$3:$N$152,0))),N101)</f>
        <v>user62@example.com</v>
      </c>
    </row>
    <row r="102" spans="1:15" x14ac:dyDescent="0.35">
      <c r="A102" s="19" t="s">
        <v>108</v>
      </c>
      <c r="B102" s="19" t="s">
        <v>159</v>
      </c>
      <c r="C102" s="19" t="s">
        <v>337</v>
      </c>
      <c r="D102" s="19" t="s">
        <v>342</v>
      </c>
      <c r="E102" s="19">
        <v>70096</v>
      </c>
      <c r="F102" s="22" t="str">
        <f t="shared" si="5"/>
        <v>70096</v>
      </c>
      <c r="G102" s="19">
        <v>70096</v>
      </c>
      <c r="H102" s="20">
        <v>42701</v>
      </c>
      <c r="I102" s="19">
        <v>4</v>
      </c>
      <c r="J102" s="19" t="s">
        <v>180</v>
      </c>
      <c r="K102" s="19" t="s">
        <v>258</v>
      </c>
      <c r="L102" s="19">
        <v>1099</v>
      </c>
      <c r="M102" s="28">
        <f t="shared" ca="1" si="4"/>
        <v>28</v>
      </c>
      <c r="N102" s="34" t="s">
        <v>258</v>
      </c>
      <c r="O102" s="19" t="str" cm="1">
        <f t="array" ref="O102">IF(N102="unknown",INDEX($N$3:$N$152,MODE(MATCH($N$3:$N$152,$N$3:$N$152,0))),N102)</f>
        <v>user76@example.com</v>
      </c>
    </row>
    <row r="103" spans="1:15" x14ac:dyDescent="0.35">
      <c r="A103" s="19" t="s">
        <v>109</v>
      </c>
      <c r="B103" s="19" t="s">
        <v>165</v>
      </c>
      <c r="C103" s="19" t="s">
        <v>337</v>
      </c>
      <c r="D103" s="19" t="s">
        <v>340</v>
      </c>
      <c r="E103" s="19" t="s">
        <v>177</v>
      </c>
      <c r="F103" s="22" t="str">
        <f t="shared" si="5"/>
        <v>0</v>
      </c>
      <c r="G103" s="19">
        <v>63687</v>
      </c>
      <c r="H103" s="20">
        <v>42708</v>
      </c>
      <c r="I103" s="19">
        <v>2</v>
      </c>
      <c r="J103" s="19" t="s">
        <v>179</v>
      </c>
      <c r="K103" s="19" t="s">
        <v>259</v>
      </c>
      <c r="L103" s="19">
        <v>1100</v>
      </c>
      <c r="M103" s="28">
        <f t="shared" ca="1" si="4"/>
        <v>20</v>
      </c>
      <c r="N103" s="34" t="s">
        <v>259</v>
      </c>
      <c r="O103" s="19" t="str" cm="1">
        <f t="array" ref="O103">IF(N103="unknown",INDEX($N$3:$N$152,MODE(MATCH($N$3:$N$152,$N$3:$N$152,0))),N103)</f>
        <v>user40@example.com</v>
      </c>
    </row>
    <row r="104" spans="1:15" x14ac:dyDescent="0.35">
      <c r="A104" s="19" t="s">
        <v>110</v>
      </c>
      <c r="B104" s="19" t="s">
        <v>165</v>
      </c>
      <c r="C104" s="19" t="s">
        <v>169</v>
      </c>
      <c r="D104" s="19" t="s">
        <v>341</v>
      </c>
      <c r="E104" s="19">
        <v>66503</v>
      </c>
      <c r="F104" s="22" t="str">
        <f t="shared" si="5"/>
        <v>66503</v>
      </c>
      <c r="G104" s="19">
        <v>66503</v>
      </c>
      <c r="H104" s="20">
        <v>42715</v>
      </c>
      <c r="I104" s="19">
        <v>3</v>
      </c>
      <c r="J104" s="19" t="s">
        <v>180</v>
      </c>
      <c r="K104" s="19" t="s">
        <v>200</v>
      </c>
      <c r="L104" s="19">
        <v>1101</v>
      </c>
      <c r="M104" s="28">
        <f t="shared" ca="1" si="4"/>
        <v>13</v>
      </c>
      <c r="N104" s="34" t="s">
        <v>200</v>
      </c>
      <c r="O104" s="19" t="str" cm="1">
        <f t="array" ref="O104">IF(N104="unknown",INDEX($N$3:$N$152,MODE(MATCH($N$3:$N$152,$N$3:$N$152,0))),N104)</f>
        <v>user200@example.com</v>
      </c>
    </row>
    <row r="105" spans="1:15" x14ac:dyDescent="0.35">
      <c r="A105" s="19" t="s">
        <v>111</v>
      </c>
      <c r="B105" s="19" t="s">
        <v>160</v>
      </c>
      <c r="C105" s="19" t="s">
        <v>167</v>
      </c>
      <c r="D105" s="19" t="s">
        <v>341</v>
      </c>
      <c r="E105" s="19">
        <v>42096</v>
      </c>
      <c r="F105" s="22" t="str">
        <f t="shared" si="5"/>
        <v>42096</v>
      </c>
      <c r="G105" s="19">
        <v>42096</v>
      </c>
      <c r="H105" s="20">
        <v>42722</v>
      </c>
      <c r="I105" s="19">
        <v>3</v>
      </c>
      <c r="J105" s="19" t="s">
        <v>181</v>
      </c>
      <c r="K105" s="19" t="s">
        <v>260</v>
      </c>
      <c r="L105" s="19">
        <v>1102</v>
      </c>
      <c r="M105" s="28">
        <f t="shared" ca="1" si="4"/>
        <v>6</v>
      </c>
      <c r="N105" s="34" t="s">
        <v>260</v>
      </c>
      <c r="O105" s="19" t="str" cm="1">
        <f t="array" ref="O105">IF(N105="unknown",INDEX($N$3:$N$152,MODE(MATCH($N$3:$N$152,$N$3:$N$152,0))),N105)</f>
        <v>user54@example.com</v>
      </c>
    </row>
    <row r="106" spans="1:15" x14ac:dyDescent="0.35">
      <c r="A106" s="19" t="s">
        <v>112</v>
      </c>
      <c r="B106" s="19" t="s">
        <v>160</v>
      </c>
      <c r="C106" s="19" t="s">
        <v>337</v>
      </c>
      <c r="D106" s="19" t="s">
        <v>340</v>
      </c>
      <c r="E106" s="19">
        <v>79145</v>
      </c>
      <c r="F106" s="22" t="str">
        <f t="shared" si="5"/>
        <v>79145</v>
      </c>
      <c r="G106" s="19">
        <v>79145</v>
      </c>
      <c r="H106" s="20">
        <v>42729</v>
      </c>
      <c r="I106" s="19">
        <v>5</v>
      </c>
      <c r="J106" s="19" t="s">
        <v>179</v>
      </c>
      <c r="K106" s="19" t="s">
        <v>223</v>
      </c>
      <c r="L106" s="19">
        <v>1103</v>
      </c>
      <c r="M106" s="28">
        <f t="shared" ca="1" si="4"/>
        <v>30</v>
      </c>
      <c r="N106" s="34" t="s">
        <v>223</v>
      </c>
      <c r="O106" s="19" t="str" cm="1">
        <f t="array" ref="O106">IF(N106="unknown",INDEX($N$3:$N$152,MODE(MATCH($N$3:$N$152,$N$3:$N$152,0))),N106)</f>
        <v>user20@example.com</v>
      </c>
    </row>
    <row r="107" spans="1:15" x14ac:dyDescent="0.35">
      <c r="A107" s="19" t="s">
        <v>113</v>
      </c>
      <c r="B107" s="19" t="s">
        <v>162</v>
      </c>
      <c r="C107" s="19" t="s">
        <v>338</v>
      </c>
      <c r="D107" s="19" t="s">
        <v>345</v>
      </c>
      <c r="E107" s="19">
        <v>61556</v>
      </c>
      <c r="F107" s="22" t="str">
        <f t="shared" si="5"/>
        <v>61556</v>
      </c>
      <c r="G107" s="19">
        <v>61556</v>
      </c>
      <c r="H107" s="20">
        <v>42736</v>
      </c>
      <c r="I107" s="19">
        <v>1</v>
      </c>
      <c r="J107" s="19" t="s">
        <v>178</v>
      </c>
      <c r="K107" s="19" t="s">
        <v>259</v>
      </c>
      <c r="L107" s="19">
        <v>1104</v>
      </c>
      <c r="M107" s="28">
        <f t="shared" ca="1" si="4"/>
        <v>23</v>
      </c>
      <c r="N107" s="34" t="s">
        <v>259</v>
      </c>
      <c r="O107" s="19" t="str" cm="1">
        <f t="array" ref="O107">IF(N107="unknown",INDEX($N$3:$N$152,MODE(MATCH($N$3:$N$152,$N$3:$N$152,0))),N107)</f>
        <v>user40@example.com</v>
      </c>
    </row>
    <row r="108" spans="1:15" x14ac:dyDescent="0.35">
      <c r="A108" s="19" t="s">
        <v>114</v>
      </c>
      <c r="B108" s="19" t="s">
        <v>178</v>
      </c>
      <c r="C108" s="19" t="s">
        <v>167</v>
      </c>
      <c r="D108" s="19" t="s">
        <v>344</v>
      </c>
      <c r="E108" s="19">
        <v>87963</v>
      </c>
      <c r="F108" s="22" t="str">
        <f t="shared" si="5"/>
        <v>87963</v>
      </c>
      <c r="G108" s="19">
        <v>87963</v>
      </c>
      <c r="H108" s="20">
        <v>42743</v>
      </c>
      <c r="I108" s="19">
        <v>3</v>
      </c>
      <c r="J108" s="19" t="s">
        <v>179</v>
      </c>
      <c r="K108" s="19" t="s">
        <v>182</v>
      </c>
      <c r="L108" s="19">
        <v>1105</v>
      </c>
      <c r="M108" s="28">
        <f t="shared" ca="1" si="4"/>
        <v>16</v>
      </c>
      <c r="N108" s="34" t="s">
        <v>340</v>
      </c>
      <c r="O108" s="19" t="str" cm="1">
        <f t="array" ref="O108">IF(N108="unknown",INDEX($N$3:$N$152,MODE(MATCH($N$3:$N$152,$N$3:$N$152,0))),N108)</f>
        <v>unknown</v>
      </c>
    </row>
    <row r="109" spans="1:15" x14ac:dyDescent="0.35">
      <c r="A109" s="19" t="s">
        <v>115</v>
      </c>
      <c r="B109" s="19" t="s">
        <v>159</v>
      </c>
      <c r="C109" s="19" t="s">
        <v>169</v>
      </c>
      <c r="D109" s="19" t="s">
        <v>340</v>
      </c>
      <c r="E109" s="19">
        <v>48325</v>
      </c>
      <c r="F109" s="22" t="str">
        <f t="shared" si="5"/>
        <v>48325</v>
      </c>
      <c r="G109" s="19">
        <v>48325</v>
      </c>
      <c r="H109" s="20">
        <v>42750</v>
      </c>
      <c r="I109" s="19">
        <v>3</v>
      </c>
      <c r="J109" s="19" t="s">
        <v>180</v>
      </c>
      <c r="K109" s="19" t="s">
        <v>261</v>
      </c>
      <c r="L109" s="19">
        <v>1106</v>
      </c>
      <c r="M109" s="28">
        <f t="shared" ca="1" si="4"/>
        <v>9</v>
      </c>
      <c r="N109" s="34" t="s">
        <v>261</v>
      </c>
      <c r="O109" s="19" t="str" cm="1">
        <f t="array" ref="O109">IF(N109="unknown",INDEX($N$3:$N$152,MODE(MATCH($N$3:$N$152,$N$3:$N$152,0))),N109)</f>
        <v>user189@example.com</v>
      </c>
    </row>
    <row r="110" spans="1:15" x14ac:dyDescent="0.35">
      <c r="A110" s="19" t="s">
        <v>116</v>
      </c>
      <c r="B110" s="19" t="s">
        <v>163</v>
      </c>
      <c r="C110" s="19" t="s">
        <v>337</v>
      </c>
      <c r="D110" s="19" t="s">
        <v>345</v>
      </c>
      <c r="E110" s="19">
        <v>86412</v>
      </c>
      <c r="F110" s="22" t="str">
        <f t="shared" si="5"/>
        <v>86412</v>
      </c>
      <c r="G110" s="19">
        <v>86412</v>
      </c>
      <c r="H110" s="20">
        <v>42757</v>
      </c>
      <c r="I110" s="19">
        <v>2</v>
      </c>
      <c r="J110" s="19" t="s">
        <v>181</v>
      </c>
      <c r="K110" s="19" t="s">
        <v>202</v>
      </c>
      <c r="L110" s="19">
        <v>1107</v>
      </c>
      <c r="M110" s="28">
        <f t="shared" ca="1" si="4"/>
        <v>2</v>
      </c>
      <c r="N110" s="34" t="s">
        <v>202</v>
      </c>
      <c r="O110" s="19" t="str" cm="1">
        <f t="array" ref="O110">IF(N110="unknown",INDEX($N$3:$N$152,MODE(MATCH($N$3:$N$152,$N$3:$N$152,0))),N110)</f>
        <v>user128@example.com</v>
      </c>
    </row>
    <row r="111" spans="1:15" x14ac:dyDescent="0.35">
      <c r="A111" s="19" t="s">
        <v>117</v>
      </c>
      <c r="B111" s="19" t="s">
        <v>163</v>
      </c>
      <c r="C111" s="19" t="s">
        <v>167</v>
      </c>
      <c r="D111" s="19" t="s">
        <v>340</v>
      </c>
      <c r="E111" s="19">
        <v>66761</v>
      </c>
      <c r="F111" s="22" t="str">
        <f t="shared" si="5"/>
        <v>66761</v>
      </c>
      <c r="G111" s="19">
        <v>66761</v>
      </c>
      <c r="H111" s="20">
        <v>42764</v>
      </c>
      <c r="I111" s="19">
        <v>1</v>
      </c>
      <c r="J111" s="19" t="s">
        <v>178</v>
      </c>
      <c r="K111" s="19" t="s">
        <v>262</v>
      </c>
      <c r="L111" s="19">
        <v>1108</v>
      </c>
      <c r="M111" s="28">
        <f t="shared" ca="1" si="4"/>
        <v>26</v>
      </c>
      <c r="N111" s="34" t="s">
        <v>262</v>
      </c>
      <c r="O111" s="19" t="str" cm="1">
        <f t="array" ref="O111">IF(N111="unknown",INDEX($N$3:$N$152,MODE(MATCH($N$3:$N$152,$N$3:$N$152,0))),N111)</f>
        <v>user93@example.com</v>
      </c>
    </row>
    <row r="112" spans="1:15" x14ac:dyDescent="0.35">
      <c r="A112" s="19" t="s">
        <v>118</v>
      </c>
      <c r="B112" s="19" t="s">
        <v>162</v>
      </c>
      <c r="C112" s="19" t="s">
        <v>338</v>
      </c>
      <c r="D112" s="19" t="s">
        <v>343</v>
      </c>
      <c r="E112" s="19">
        <v>88850</v>
      </c>
      <c r="F112" s="22" t="str">
        <f t="shared" si="5"/>
        <v>88850</v>
      </c>
      <c r="G112" s="19">
        <v>88850</v>
      </c>
      <c r="H112" s="20">
        <v>42771</v>
      </c>
      <c r="I112" s="19">
        <v>1</v>
      </c>
      <c r="J112" s="19" t="s">
        <v>181</v>
      </c>
      <c r="K112" s="19" t="s">
        <v>263</v>
      </c>
      <c r="L112" s="19">
        <v>1109</v>
      </c>
      <c r="M112" s="28">
        <f t="shared" ca="1" si="4"/>
        <v>19</v>
      </c>
      <c r="N112" s="34" t="s">
        <v>263</v>
      </c>
      <c r="O112" s="19" t="str" cm="1">
        <f t="array" ref="O112">IF(N112="unknown",INDEX($N$3:$N$152,MODE(MATCH($N$3:$N$152,$N$3:$N$152,0))),N112)</f>
        <v>user174@example.com</v>
      </c>
    </row>
    <row r="113" spans="1:15" x14ac:dyDescent="0.35">
      <c r="A113" s="19" t="s">
        <v>119</v>
      </c>
      <c r="B113" s="19" t="s">
        <v>164</v>
      </c>
      <c r="C113" s="19" t="s">
        <v>336</v>
      </c>
      <c r="D113" s="19" t="s">
        <v>343</v>
      </c>
      <c r="E113" s="19">
        <v>31293</v>
      </c>
      <c r="F113" s="22" t="str">
        <f t="shared" si="5"/>
        <v>31293</v>
      </c>
      <c r="G113" s="19">
        <v>31293</v>
      </c>
      <c r="H113" s="20" t="s">
        <v>178</v>
      </c>
      <c r="I113" s="19">
        <v>2</v>
      </c>
      <c r="J113" s="19" t="s">
        <v>181</v>
      </c>
      <c r="K113" s="19" t="s">
        <v>264</v>
      </c>
      <c r="L113" s="19">
        <v>1110</v>
      </c>
      <c r="M113" s="28">
        <f t="shared" ca="1" si="4"/>
        <v>0</v>
      </c>
      <c r="N113" s="34" t="s">
        <v>264</v>
      </c>
      <c r="O113" s="19" t="str" cm="1">
        <f t="array" ref="O113">IF(N113="unknown",INDEX($N$3:$N$152,MODE(MATCH($N$3:$N$152,$N$3:$N$152,0))),N113)</f>
        <v>user44@example.com</v>
      </c>
    </row>
    <row r="114" spans="1:15" x14ac:dyDescent="0.35">
      <c r="A114" s="19" t="s">
        <v>120</v>
      </c>
      <c r="B114" s="19" t="s">
        <v>164</v>
      </c>
      <c r="C114" s="19" t="s">
        <v>169</v>
      </c>
      <c r="D114" s="19" t="s">
        <v>342</v>
      </c>
      <c r="E114" s="19">
        <v>34306</v>
      </c>
      <c r="F114" s="22" t="str">
        <f t="shared" si="5"/>
        <v>34306</v>
      </c>
      <c r="G114" s="19">
        <v>34306</v>
      </c>
      <c r="H114" s="20">
        <v>42785</v>
      </c>
      <c r="I114" s="19">
        <v>5</v>
      </c>
      <c r="J114" s="19" t="s">
        <v>181</v>
      </c>
      <c r="K114" s="19" t="s">
        <v>239</v>
      </c>
      <c r="L114" s="19">
        <v>1111</v>
      </c>
      <c r="M114" s="28">
        <f t="shared" ca="1" si="4"/>
        <v>5</v>
      </c>
      <c r="N114" s="34" t="s">
        <v>239</v>
      </c>
      <c r="O114" s="19" t="str" cm="1">
        <f t="array" ref="O114">IF(N114="unknown",INDEX($N$3:$N$152,MODE(MATCH($N$3:$N$152,$N$3:$N$152,0))),N114)</f>
        <v>user192@example.com</v>
      </c>
    </row>
    <row r="115" spans="1:15" x14ac:dyDescent="0.35">
      <c r="A115" s="19" t="s">
        <v>121</v>
      </c>
      <c r="B115" s="19" t="s">
        <v>159</v>
      </c>
      <c r="C115" s="19" t="s">
        <v>335</v>
      </c>
      <c r="D115" s="19" t="s">
        <v>343</v>
      </c>
      <c r="E115" s="19">
        <v>78330</v>
      </c>
      <c r="F115" s="22" t="str">
        <f t="shared" si="5"/>
        <v>78330</v>
      </c>
      <c r="G115" s="19">
        <v>78330</v>
      </c>
      <c r="H115" s="20">
        <v>42792</v>
      </c>
      <c r="I115" s="19">
        <v>3</v>
      </c>
      <c r="J115" s="19" t="s">
        <v>179</v>
      </c>
      <c r="K115" s="19" t="s">
        <v>258</v>
      </c>
      <c r="L115" s="19">
        <v>1112</v>
      </c>
      <c r="M115" s="28">
        <f t="shared" ca="1" si="4"/>
        <v>29</v>
      </c>
      <c r="N115" s="34" t="s">
        <v>258</v>
      </c>
      <c r="O115" s="19" t="str" cm="1">
        <f t="array" ref="O115">IF(N115="unknown",INDEX($N$3:$N$152,MODE(MATCH($N$3:$N$152,$N$3:$N$152,0))),N115)</f>
        <v>user76@example.com</v>
      </c>
    </row>
    <row r="116" spans="1:15" x14ac:dyDescent="0.35">
      <c r="A116" s="19" t="s">
        <v>122</v>
      </c>
      <c r="B116" s="19" t="s">
        <v>160</v>
      </c>
      <c r="C116" s="19" t="s">
        <v>169</v>
      </c>
      <c r="D116" s="19" t="s">
        <v>342</v>
      </c>
      <c r="E116" s="19">
        <v>47653</v>
      </c>
      <c r="F116" s="22" t="str">
        <f t="shared" si="5"/>
        <v>47653</v>
      </c>
      <c r="G116" s="19">
        <v>47653</v>
      </c>
      <c r="H116" s="20">
        <v>42799</v>
      </c>
      <c r="I116" s="19">
        <v>1</v>
      </c>
      <c r="J116" s="19" t="s">
        <v>180</v>
      </c>
      <c r="K116" s="19" t="s">
        <v>265</v>
      </c>
      <c r="L116" s="19">
        <v>1113</v>
      </c>
      <c r="M116" s="28">
        <f t="shared" ca="1" si="4"/>
        <v>19</v>
      </c>
      <c r="N116" s="34" t="s">
        <v>265</v>
      </c>
      <c r="O116" s="19" t="str" cm="1">
        <f t="array" ref="O116">IF(N116="unknown",INDEX($N$3:$N$152,MODE(MATCH($N$3:$N$152,$N$3:$N$152,0))),N116)</f>
        <v>user82@example.com</v>
      </c>
    </row>
    <row r="117" spans="1:15" x14ac:dyDescent="0.35">
      <c r="A117" s="19" t="s">
        <v>123</v>
      </c>
      <c r="B117" s="19" t="s">
        <v>159</v>
      </c>
      <c r="C117" s="19" t="s">
        <v>337</v>
      </c>
      <c r="D117" s="19" t="s">
        <v>344</v>
      </c>
      <c r="E117" s="19">
        <v>44627</v>
      </c>
      <c r="F117" s="22" t="str">
        <f t="shared" si="5"/>
        <v>44627</v>
      </c>
      <c r="G117" s="19">
        <v>44627</v>
      </c>
      <c r="H117" s="20">
        <v>42806</v>
      </c>
      <c r="I117" s="19">
        <v>4</v>
      </c>
      <c r="J117" s="19" t="s">
        <v>178</v>
      </c>
      <c r="K117" s="19" t="s">
        <v>235</v>
      </c>
      <c r="L117" s="19">
        <v>1114</v>
      </c>
      <c r="M117" s="28">
        <f t="shared" ca="1" si="4"/>
        <v>12</v>
      </c>
      <c r="N117" s="34" t="s">
        <v>235</v>
      </c>
      <c r="O117" s="19" t="str" cm="1">
        <f t="array" ref="O117">IF(N117="unknown",INDEX($N$3:$N$152,MODE(MATCH($N$3:$N$152,$N$3:$N$152,0))),N117)</f>
        <v>user97@example.com</v>
      </c>
    </row>
    <row r="118" spans="1:15" x14ac:dyDescent="0.35">
      <c r="A118" s="19" t="s">
        <v>124</v>
      </c>
      <c r="B118" s="19" t="s">
        <v>165</v>
      </c>
      <c r="C118" s="19" t="s">
        <v>167</v>
      </c>
      <c r="D118" s="19" t="s">
        <v>341</v>
      </c>
      <c r="E118" s="19">
        <v>92343</v>
      </c>
      <c r="F118" s="22" t="str">
        <f t="shared" si="5"/>
        <v>92343</v>
      </c>
      <c r="G118" s="19">
        <v>92343</v>
      </c>
      <c r="H118" s="20">
        <v>42813</v>
      </c>
      <c r="I118" s="19">
        <v>4</v>
      </c>
      <c r="J118" s="19" t="s">
        <v>181</v>
      </c>
      <c r="K118" s="19" t="s">
        <v>203</v>
      </c>
      <c r="L118" s="19">
        <v>1115</v>
      </c>
      <c r="M118" s="28">
        <f t="shared" ca="1" si="4"/>
        <v>5</v>
      </c>
      <c r="N118" s="34" t="s">
        <v>203</v>
      </c>
      <c r="O118" s="19" t="str" cm="1">
        <f t="array" ref="O118">IF(N118="unknown",INDEX($N$3:$N$152,MODE(MATCH($N$3:$N$152,$N$3:$N$152,0))),N118)</f>
        <v>user149@example.com</v>
      </c>
    </row>
    <row r="119" spans="1:15" x14ac:dyDescent="0.35">
      <c r="A119" s="19" t="s">
        <v>125</v>
      </c>
      <c r="B119" s="19" t="s">
        <v>165</v>
      </c>
      <c r="C119" s="19" t="s">
        <v>337</v>
      </c>
      <c r="D119" s="19" t="s">
        <v>345</v>
      </c>
      <c r="E119" s="19">
        <v>38837</v>
      </c>
      <c r="F119" s="22" t="str">
        <f t="shared" si="5"/>
        <v>38837</v>
      </c>
      <c r="G119" s="19">
        <v>38837</v>
      </c>
      <c r="H119" s="20">
        <v>42820</v>
      </c>
      <c r="I119" s="19">
        <v>5</v>
      </c>
      <c r="J119" s="19" t="s">
        <v>181</v>
      </c>
      <c r="K119" s="19" t="s">
        <v>239</v>
      </c>
      <c r="L119" s="19">
        <v>1116</v>
      </c>
      <c r="M119" s="28">
        <f t="shared" ca="1" si="4"/>
        <v>29</v>
      </c>
      <c r="N119" s="34" t="s">
        <v>239</v>
      </c>
      <c r="O119" s="19" t="str" cm="1">
        <f t="array" ref="O119">IF(N119="unknown",INDEX($N$3:$N$152,MODE(MATCH($N$3:$N$152,$N$3:$N$152,0))),N119)</f>
        <v>user192@example.com</v>
      </c>
    </row>
    <row r="120" spans="1:15" x14ac:dyDescent="0.35">
      <c r="A120" s="19" t="s">
        <v>126</v>
      </c>
      <c r="B120" s="19" t="s">
        <v>165</v>
      </c>
      <c r="C120" s="19" t="s">
        <v>337</v>
      </c>
      <c r="D120" s="19" t="s">
        <v>340</v>
      </c>
      <c r="E120" s="19">
        <v>73483</v>
      </c>
      <c r="F120" s="22" t="str">
        <f t="shared" si="5"/>
        <v>73483</v>
      </c>
      <c r="G120" s="19">
        <v>73483</v>
      </c>
      <c r="H120" s="20">
        <v>42827</v>
      </c>
      <c r="I120" s="19">
        <v>1</v>
      </c>
      <c r="J120" s="19" t="s">
        <v>178</v>
      </c>
      <c r="K120" s="19" t="s">
        <v>266</v>
      </c>
      <c r="L120" s="19">
        <v>1117</v>
      </c>
      <c r="M120" s="28">
        <f t="shared" ca="1" si="4"/>
        <v>22</v>
      </c>
      <c r="N120" s="34" t="s">
        <v>266</v>
      </c>
      <c r="O120" s="19" t="str" cm="1">
        <f t="array" ref="O120">IF(N120="unknown",INDEX($N$3:$N$152,MODE(MATCH($N$3:$N$152,$N$3:$N$152,0))),N120)</f>
        <v>user137@example.com</v>
      </c>
    </row>
    <row r="121" spans="1:15" x14ac:dyDescent="0.35">
      <c r="A121" s="19" t="s">
        <v>127</v>
      </c>
      <c r="B121" s="19" t="s">
        <v>164</v>
      </c>
      <c r="C121" s="19" t="s">
        <v>336</v>
      </c>
      <c r="D121" s="19" t="s">
        <v>343</v>
      </c>
      <c r="E121" s="19">
        <v>95032</v>
      </c>
      <c r="F121" s="22" t="str">
        <f t="shared" si="5"/>
        <v>95032</v>
      </c>
      <c r="G121" s="19">
        <v>95032</v>
      </c>
      <c r="H121" s="20">
        <v>42834</v>
      </c>
      <c r="I121" s="19">
        <v>3</v>
      </c>
      <c r="J121" s="19" t="s">
        <v>178</v>
      </c>
      <c r="K121" s="19" t="s">
        <v>267</v>
      </c>
      <c r="L121" s="19">
        <v>1118</v>
      </c>
      <c r="M121" s="28">
        <f t="shared" ca="1" si="4"/>
        <v>15</v>
      </c>
      <c r="N121" s="34" t="s">
        <v>267</v>
      </c>
      <c r="O121" s="19" t="str" cm="1">
        <f t="array" ref="O121">IF(N121="unknown",INDEX($N$3:$N$152,MODE(MATCH($N$3:$N$152,$N$3:$N$152,0))),N121)</f>
        <v>user23@example.com</v>
      </c>
    </row>
    <row r="122" spans="1:15" x14ac:dyDescent="0.35">
      <c r="A122" s="19" t="s">
        <v>128</v>
      </c>
      <c r="B122" s="19" t="s">
        <v>159</v>
      </c>
      <c r="C122" s="19" t="s">
        <v>336</v>
      </c>
      <c r="D122" s="19" t="s">
        <v>345</v>
      </c>
      <c r="E122" s="19">
        <v>44358</v>
      </c>
      <c r="F122" s="22" t="str">
        <f t="shared" si="5"/>
        <v>44358</v>
      </c>
      <c r="G122" s="19">
        <v>44358</v>
      </c>
      <c r="H122" s="20">
        <v>42841</v>
      </c>
      <c r="I122" s="19">
        <v>3</v>
      </c>
      <c r="J122" s="19" t="s">
        <v>181</v>
      </c>
      <c r="K122" s="19" t="s">
        <v>200</v>
      </c>
      <c r="L122" s="19">
        <v>1119</v>
      </c>
      <c r="M122" s="28">
        <f t="shared" ca="1" si="4"/>
        <v>8</v>
      </c>
      <c r="N122" s="34" t="s">
        <v>200</v>
      </c>
      <c r="O122" s="19" t="str" cm="1">
        <f t="array" ref="O122">IF(N122="unknown",INDEX($N$3:$N$152,MODE(MATCH($N$3:$N$152,$N$3:$N$152,0))),N122)</f>
        <v>user200@example.com</v>
      </c>
    </row>
    <row r="123" spans="1:15" x14ac:dyDescent="0.35">
      <c r="A123" s="19" t="s">
        <v>129</v>
      </c>
      <c r="B123" s="19" t="s">
        <v>178</v>
      </c>
      <c r="C123" s="19" t="s">
        <v>169</v>
      </c>
      <c r="D123" s="19" t="s">
        <v>342</v>
      </c>
      <c r="E123" s="19" t="s">
        <v>177</v>
      </c>
      <c r="F123" s="22" t="str">
        <f t="shared" si="5"/>
        <v>0</v>
      </c>
      <c r="G123" s="19">
        <v>66158</v>
      </c>
      <c r="H123" s="20" t="s">
        <v>178</v>
      </c>
      <c r="I123" s="19">
        <v>5</v>
      </c>
      <c r="J123" s="19" t="s">
        <v>178</v>
      </c>
      <c r="K123" s="19" t="s">
        <v>268</v>
      </c>
      <c r="L123" s="19">
        <v>1120</v>
      </c>
      <c r="M123" s="28">
        <f t="shared" ca="1" si="4"/>
        <v>0</v>
      </c>
      <c r="N123" s="34" t="s">
        <v>268</v>
      </c>
      <c r="O123" s="19" t="str" cm="1">
        <f t="array" ref="O123">IF(N123="unknown",INDEX($N$3:$N$152,MODE(MATCH($N$3:$N$152,$N$3:$N$152,0))),N123)</f>
        <v>user101@example.com</v>
      </c>
    </row>
    <row r="124" spans="1:15" x14ac:dyDescent="0.35">
      <c r="A124" s="19" t="s">
        <v>130</v>
      </c>
      <c r="B124" s="19" t="s">
        <v>164</v>
      </c>
      <c r="C124" s="19" t="s">
        <v>336</v>
      </c>
      <c r="D124" s="19" t="s">
        <v>342</v>
      </c>
      <c r="E124" s="19">
        <v>45676</v>
      </c>
      <c r="F124" s="22" t="str">
        <f t="shared" si="5"/>
        <v>45676</v>
      </c>
      <c r="G124" s="19">
        <v>45676</v>
      </c>
      <c r="H124" s="20">
        <v>42855</v>
      </c>
      <c r="I124" s="19">
        <v>2</v>
      </c>
      <c r="J124" s="19" t="s">
        <v>178</v>
      </c>
      <c r="K124" s="19" t="s">
        <v>269</v>
      </c>
      <c r="L124" s="19">
        <v>1121</v>
      </c>
      <c r="M124" s="28">
        <f t="shared" ca="1" si="4"/>
        <v>25</v>
      </c>
      <c r="N124" s="34" t="s">
        <v>269</v>
      </c>
      <c r="O124" s="19" t="str" cm="1">
        <f t="array" ref="O124">IF(N124="unknown",INDEX($N$3:$N$152,MODE(MATCH($N$3:$N$152,$N$3:$N$152,0))),N124)</f>
        <v>user132@example.com</v>
      </c>
    </row>
    <row r="125" spans="1:15" x14ac:dyDescent="0.35">
      <c r="A125" s="19" t="s">
        <v>131</v>
      </c>
      <c r="B125" s="19" t="s">
        <v>165</v>
      </c>
      <c r="C125" s="19" t="s">
        <v>336</v>
      </c>
      <c r="D125" s="19" t="s">
        <v>341</v>
      </c>
      <c r="E125" s="19">
        <v>52036</v>
      </c>
      <c r="F125" s="22" t="str">
        <f t="shared" si="5"/>
        <v>52036</v>
      </c>
      <c r="G125" s="19">
        <v>52036</v>
      </c>
      <c r="H125" s="20">
        <v>42862</v>
      </c>
      <c r="I125" s="19">
        <v>3</v>
      </c>
      <c r="J125" s="19" t="s">
        <v>180</v>
      </c>
      <c r="K125" s="19" t="s">
        <v>270</v>
      </c>
      <c r="L125" s="19">
        <v>1122</v>
      </c>
      <c r="M125" s="28">
        <f t="shared" ca="1" si="4"/>
        <v>17</v>
      </c>
      <c r="N125" s="34" t="s">
        <v>270</v>
      </c>
      <c r="O125" s="19" t="str" cm="1">
        <f t="array" ref="O125">IF(N125="unknown",INDEX($N$3:$N$152,MODE(MATCH($N$3:$N$152,$N$3:$N$152,0))),N125)</f>
        <v>user171@example.com</v>
      </c>
    </row>
    <row r="126" spans="1:15" x14ac:dyDescent="0.35">
      <c r="A126" s="19" t="s">
        <v>132</v>
      </c>
      <c r="B126" s="19" t="s">
        <v>162</v>
      </c>
      <c r="C126" s="19" t="s">
        <v>338</v>
      </c>
      <c r="D126" s="19" t="s">
        <v>341</v>
      </c>
      <c r="E126" s="19">
        <v>30357</v>
      </c>
      <c r="F126" s="22" t="str">
        <f t="shared" si="5"/>
        <v>30357</v>
      </c>
      <c r="G126" s="19">
        <v>30357</v>
      </c>
      <c r="H126" s="20">
        <v>42869</v>
      </c>
      <c r="I126" s="19">
        <v>5</v>
      </c>
      <c r="J126" s="19" t="s">
        <v>180</v>
      </c>
      <c r="K126" s="19" t="s">
        <v>248</v>
      </c>
      <c r="L126" s="19">
        <v>1123</v>
      </c>
      <c r="M126" s="28">
        <f t="shared" ca="1" si="4"/>
        <v>10</v>
      </c>
      <c r="N126" s="34" t="s">
        <v>248</v>
      </c>
      <c r="O126" s="19" t="str" cm="1">
        <f t="array" ref="O126">IF(N126="unknown",INDEX($N$3:$N$152,MODE(MATCH($N$3:$N$152,$N$3:$N$152,0))),N126)</f>
        <v>user145@example.com</v>
      </c>
    </row>
    <row r="127" spans="1:15" x14ac:dyDescent="0.35">
      <c r="A127" s="19" t="s">
        <v>133</v>
      </c>
      <c r="B127" s="19" t="s">
        <v>161</v>
      </c>
      <c r="C127" s="19" t="s">
        <v>169</v>
      </c>
      <c r="D127" s="19" t="s">
        <v>340</v>
      </c>
      <c r="E127" s="19">
        <v>60034</v>
      </c>
      <c r="F127" s="22" t="str">
        <f t="shared" si="5"/>
        <v>60034</v>
      </c>
      <c r="G127" s="19">
        <v>60034</v>
      </c>
      <c r="H127" s="20">
        <v>42876</v>
      </c>
      <c r="I127" s="19">
        <v>1</v>
      </c>
      <c r="J127" s="19" t="s">
        <v>181</v>
      </c>
      <c r="K127" s="19" t="s">
        <v>271</v>
      </c>
      <c r="L127" s="19">
        <v>1124</v>
      </c>
      <c r="M127" s="28">
        <f t="shared" ca="1" si="4"/>
        <v>3</v>
      </c>
      <c r="N127" s="34" t="s">
        <v>271</v>
      </c>
      <c r="O127" s="19" t="str" cm="1">
        <f t="array" ref="O127">IF(N127="unknown",INDEX($N$3:$N$152,MODE(MATCH($N$3:$N$152,$N$3:$N$152,0))),N127)</f>
        <v>user75@example.com</v>
      </c>
    </row>
    <row r="128" spans="1:15" x14ac:dyDescent="0.35">
      <c r="A128" s="19" t="s">
        <v>134</v>
      </c>
      <c r="B128" s="19" t="s">
        <v>161</v>
      </c>
      <c r="C128" s="19" t="s">
        <v>335</v>
      </c>
      <c r="D128" s="19" t="s">
        <v>340</v>
      </c>
      <c r="E128" s="19">
        <v>90019</v>
      </c>
      <c r="F128" s="22" t="str">
        <f t="shared" si="5"/>
        <v>90019</v>
      </c>
      <c r="G128" s="19">
        <v>90019</v>
      </c>
      <c r="H128" s="20">
        <v>42883</v>
      </c>
      <c r="I128" s="19">
        <v>5</v>
      </c>
      <c r="J128" s="19" t="s">
        <v>178</v>
      </c>
      <c r="K128" s="19" t="s">
        <v>272</v>
      </c>
      <c r="L128" s="19">
        <v>1125</v>
      </c>
      <c r="M128" s="28">
        <f t="shared" ca="1" si="4"/>
        <v>27</v>
      </c>
      <c r="N128" s="34" t="s">
        <v>272</v>
      </c>
      <c r="O128" s="19" t="str" cm="1">
        <f t="array" ref="O128">IF(N128="unknown",INDEX($N$3:$N$152,MODE(MATCH($N$3:$N$152,$N$3:$N$152,0))),N128)</f>
        <v>user52@example.com</v>
      </c>
    </row>
    <row r="129" spans="1:15" x14ac:dyDescent="0.35">
      <c r="A129" s="19" t="s">
        <v>135</v>
      </c>
      <c r="B129" s="19" t="s">
        <v>165</v>
      </c>
      <c r="C129" s="19" t="s">
        <v>338</v>
      </c>
      <c r="D129" s="19" t="s">
        <v>341</v>
      </c>
      <c r="E129" s="19">
        <v>71494</v>
      </c>
      <c r="F129" s="22" t="str">
        <f t="shared" si="5"/>
        <v>71494</v>
      </c>
      <c r="G129" s="19">
        <v>71494</v>
      </c>
      <c r="H129" s="20">
        <v>42890</v>
      </c>
      <c r="I129" s="19">
        <v>3</v>
      </c>
      <c r="J129" s="19" t="s">
        <v>180</v>
      </c>
      <c r="K129" s="19" t="s">
        <v>273</v>
      </c>
      <c r="L129" s="19">
        <v>1126</v>
      </c>
      <c r="M129" s="28">
        <f t="shared" ca="1" si="4"/>
        <v>20</v>
      </c>
      <c r="N129" s="34" t="s">
        <v>273</v>
      </c>
      <c r="O129" s="19" t="str" cm="1">
        <f t="array" ref="O129">IF(N129="unknown",INDEX($N$3:$N$152,MODE(MATCH($N$3:$N$152,$N$3:$N$152,0))),N129)</f>
        <v>user100@example.com</v>
      </c>
    </row>
    <row r="130" spans="1:15" x14ac:dyDescent="0.35">
      <c r="A130" s="19" t="s">
        <v>136</v>
      </c>
      <c r="B130" s="19" t="s">
        <v>161</v>
      </c>
      <c r="C130" s="19" t="s">
        <v>335</v>
      </c>
      <c r="D130" s="19" t="s">
        <v>342</v>
      </c>
      <c r="E130" s="19">
        <v>91953</v>
      </c>
      <c r="F130" s="22" t="str">
        <f t="shared" si="5"/>
        <v>91953</v>
      </c>
      <c r="G130" s="19">
        <v>91953</v>
      </c>
      <c r="H130" s="20">
        <v>42897</v>
      </c>
      <c r="I130" s="19">
        <v>2</v>
      </c>
      <c r="J130" s="19" t="s">
        <v>180</v>
      </c>
      <c r="K130" s="19" t="s">
        <v>209</v>
      </c>
      <c r="L130" s="19">
        <v>1127</v>
      </c>
      <c r="M130" s="28">
        <f t="shared" ca="1" si="4"/>
        <v>13</v>
      </c>
      <c r="N130" s="34" t="s">
        <v>209</v>
      </c>
      <c r="O130" s="19" t="str" cm="1">
        <f t="array" ref="O130">IF(N130="unknown",INDEX($N$3:$N$152,MODE(MATCH($N$3:$N$152,$N$3:$N$152,0))),N130)</f>
        <v>user83@example.com</v>
      </c>
    </row>
    <row r="131" spans="1:15" x14ac:dyDescent="0.35">
      <c r="A131" s="19" t="s">
        <v>137</v>
      </c>
      <c r="B131" s="19" t="s">
        <v>164</v>
      </c>
      <c r="C131" s="19" t="s">
        <v>336</v>
      </c>
      <c r="D131" s="19" t="s">
        <v>342</v>
      </c>
      <c r="E131" s="19">
        <v>30402</v>
      </c>
      <c r="F131" s="22" t="str">
        <f t="shared" ref="F131:F152" si="6">SUBSTITUTE(E131,"N/A","0")</f>
        <v>30402</v>
      </c>
      <c r="G131" s="19">
        <v>30402</v>
      </c>
      <c r="H131" s="20">
        <v>42904</v>
      </c>
      <c r="I131" s="19">
        <v>1</v>
      </c>
      <c r="J131" s="19" t="s">
        <v>178</v>
      </c>
      <c r="K131" s="19" t="s">
        <v>274</v>
      </c>
      <c r="L131" s="19">
        <v>1128</v>
      </c>
      <c r="M131" s="28">
        <f t="shared" ca="1" si="4"/>
        <v>6</v>
      </c>
      <c r="N131" s="34" t="s">
        <v>274</v>
      </c>
      <c r="O131" s="19" t="str" cm="1">
        <f t="array" ref="O131">IF(N131="unknown",INDEX($N$3:$N$152,MODE(MATCH($N$3:$N$152,$N$3:$N$152,0))),N131)</f>
        <v>user167@example.com</v>
      </c>
    </row>
    <row r="132" spans="1:15" x14ac:dyDescent="0.35">
      <c r="A132" s="19" t="s">
        <v>138</v>
      </c>
      <c r="B132" s="19" t="s">
        <v>165</v>
      </c>
      <c r="C132" s="19" t="s">
        <v>338</v>
      </c>
      <c r="D132" s="19" t="s">
        <v>344</v>
      </c>
      <c r="E132" s="19">
        <v>62994</v>
      </c>
      <c r="F132" s="22" t="str">
        <f t="shared" si="6"/>
        <v>62994</v>
      </c>
      <c r="G132" s="19">
        <v>62994</v>
      </c>
      <c r="H132" s="20">
        <v>42911</v>
      </c>
      <c r="I132" s="19">
        <v>3</v>
      </c>
      <c r="J132" s="19" t="s">
        <v>178</v>
      </c>
      <c r="K132" s="19" t="s">
        <v>221</v>
      </c>
      <c r="L132" s="19">
        <v>1129</v>
      </c>
      <c r="M132" s="28">
        <f t="shared" ca="1" si="4"/>
        <v>30</v>
      </c>
      <c r="N132" s="34" t="s">
        <v>221</v>
      </c>
      <c r="O132" s="19" t="str" cm="1">
        <f t="array" ref="O132">IF(N132="unknown",INDEX($N$3:$N$152,MODE(MATCH($N$3:$N$152,$N$3:$N$152,0))),N132)</f>
        <v>user175@example.com</v>
      </c>
    </row>
    <row r="133" spans="1:15" x14ac:dyDescent="0.35">
      <c r="A133" s="19" t="s">
        <v>139</v>
      </c>
      <c r="B133" s="19" t="s">
        <v>160</v>
      </c>
      <c r="C133" s="19" t="s">
        <v>336</v>
      </c>
      <c r="D133" s="19" t="s">
        <v>343</v>
      </c>
      <c r="E133" s="19">
        <v>48289</v>
      </c>
      <c r="F133" s="22" t="str">
        <f t="shared" si="6"/>
        <v>48289</v>
      </c>
      <c r="G133" s="19">
        <v>48289</v>
      </c>
      <c r="H133" s="20" t="s">
        <v>178</v>
      </c>
      <c r="I133" s="19">
        <v>3</v>
      </c>
      <c r="J133" s="19" t="s">
        <v>180</v>
      </c>
      <c r="K133" s="19" t="s">
        <v>189</v>
      </c>
      <c r="L133" s="19">
        <v>1130</v>
      </c>
      <c r="M133" s="28">
        <f t="shared" ref="M133:M152" ca="1" si="7">IF(H133="Unknown",0,DATEDIF(H133, TODAY(), "MD"))</f>
        <v>0</v>
      </c>
      <c r="N133" s="34" t="s">
        <v>189</v>
      </c>
      <c r="O133" s="19" t="str" cm="1">
        <f t="array" ref="O133">IF(N133="unknown",INDEX($N$3:$N$152,MODE(MATCH($N$3:$N$152,$N$3:$N$152,0))),N133)</f>
        <v>user25@example.com</v>
      </c>
    </row>
    <row r="134" spans="1:15" x14ac:dyDescent="0.35">
      <c r="A134" s="19" t="s">
        <v>140</v>
      </c>
      <c r="B134" s="19" t="s">
        <v>163</v>
      </c>
      <c r="C134" s="19" t="s">
        <v>337</v>
      </c>
      <c r="D134" s="19" t="s">
        <v>341</v>
      </c>
      <c r="E134" s="19">
        <v>34402</v>
      </c>
      <c r="F134" s="22" t="str">
        <f t="shared" si="6"/>
        <v>34402</v>
      </c>
      <c r="G134" s="19">
        <v>34402</v>
      </c>
      <c r="H134" s="20">
        <v>42925</v>
      </c>
      <c r="I134" s="19">
        <v>3</v>
      </c>
      <c r="J134" s="19" t="s">
        <v>179</v>
      </c>
      <c r="K134" s="19" t="s">
        <v>218</v>
      </c>
      <c r="L134" s="19">
        <v>1131</v>
      </c>
      <c r="M134" s="28">
        <f t="shared" ca="1" si="7"/>
        <v>15</v>
      </c>
      <c r="N134" s="34" t="s">
        <v>218</v>
      </c>
      <c r="O134" s="19" t="str" cm="1">
        <f t="array" ref="O134">IF(N134="unknown",INDEX($N$3:$N$152,MODE(MATCH($N$3:$N$152,$N$3:$N$152,0))),N134)</f>
        <v>user42@example.com</v>
      </c>
    </row>
    <row r="135" spans="1:15" x14ac:dyDescent="0.35">
      <c r="A135" s="19" t="s">
        <v>141</v>
      </c>
      <c r="B135" s="19" t="s">
        <v>159</v>
      </c>
      <c r="C135" s="19" t="s">
        <v>167</v>
      </c>
      <c r="D135" s="19" t="s">
        <v>342</v>
      </c>
      <c r="E135" s="19">
        <v>38678</v>
      </c>
      <c r="F135" s="22" t="str">
        <f t="shared" si="6"/>
        <v>38678</v>
      </c>
      <c r="G135" s="19">
        <v>38678</v>
      </c>
      <c r="H135" s="20">
        <v>42932</v>
      </c>
      <c r="I135" s="19">
        <v>3</v>
      </c>
      <c r="J135" s="19" t="s">
        <v>179</v>
      </c>
      <c r="K135" s="19" t="s">
        <v>275</v>
      </c>
      <c r="L135" s="19">
        <v>1132</v>
      </c>
      <c r="M135" s="28">
        <f t="shared" ca="1" si="7"/>
        <v>8</v>
      </c>
      <c r="N135" s="34" t="s">
        <v>275</v>
      </c>
      <c r="O135" s="19" t="str" cm="1">
        <f t="array" ref="O135">IF(N135="unknown",INDEX($N$3:$N$152,MODE(MATCH($N$3:$N$152,$N$3:$N$152,0))),N135)</f>
        <v>user188@example.com</v>
      </c>
    </row>
    <row r="136" spans="1:15" x14ac:dyDescent="0.35">
      <c r="A136" s="19" t="s">
        <v>142</v>
      </c>
      <c r="B136" s="19" t="s">
        <v>164</v>
      </c>
      <c r="C136" s="19" t="s">
        <v>167</v>
      </c>
      <c r="D136" s="19" t="s">
        <v>341</v>
      </c>
      <c r="E136" s="19">
        <v>45758</v>
      </c>
      <c r="F136" s="22" t="str">
        <f t="shared" si="6"/>
        <v>45758</v>
      </c>
      <c r="G136" s="19">
        <v>45758</v>
      </c>
      <c r="H136" s="20">
        <v>42939</v>
      </c>
      <c r="I136" s="19">
        <v>3</v>
      </c>
      <c r="J136" s="19" t="s">
        <v>178</v>
      </c>
      <c r="K136" s="19" t="s">
        <v>264</v>
      </c>
      <c r="L136" s="19">
        <v>1133</v>
      </c>
      <c r="M136" s="28">
        <f t="shared" ca="1" si="7"/>
        <v>1</v>
      </c>
      <c r="N136" s="34" t="s">
        <v>264</v>
      </c>
      <c r="O136" s="19" t="str" cm="1">
        <f t="array" ref="O136">IF(N136="unknown",INDEX($N$3:$N$152,MODE(MATCH($N$3:$N$152,$N$3:$N$152,0))),N136)</f>
        <v>user44@example.com</v>
      </c>
    </row>
    <row r="137" spans="1:15" x14ac:dyDescent="0.35">
      <c r="A137" s="19" t="s">
        <v>143</v>
      </c>
      <c r="B137" s="19" t="s">
        <v>159</v>
      </c>
      <c r="C137" s="19" t="s">
        <v>337</v>
      </c>
      <c r="D137" s="19" t="s">
        <v>343</v>
      </c>
      <c r="E137" s="19">
        <v>62476</v>
      </c>
      <c r="F137" s="22" t="str">
        <f t="shared" si="6"/>
        <v>62476</v>
      </c>
      <c r="G137" s="19">
        <v>62476</v>
      </c>
      <c r="H137" s="20">
        <v>42946</v>
      </c>
      <c r="I137" s="19">
        <v>1</v>
      </c>
      <c r="J137" s="19" t="s">
        <v>179</v>
      </c>
      <c r="K137" s="19" t="s">
        <v>231</v>
      </c>
      <c r="L137" s="19">
        <v>1134</v>
      </c>
      <c r="M137" s="28">
        <f t="shared" ca="1" si="7"/>
        <v>25</v>
      </c>
      <c r="N137" s="34" t="s">
        <v>231</v>
      </c>
      <c r="O137" s="19" t="str" cm="1">
        <f t="array" ref="O137">IF(N137="unknown",INDEX($N$3:$N$152,MODE(MATCH($N$3:$N$152,$N$3:$N$152,0))),N137)</f>
        <v>user63@example.com</v>
      </c>
    </row>
    <row r="138" spans="1:15" x14ac:dyDescent="0.35">
      <c r="A138" s="19" t="s">
        <v>144</v>
      </c>
      <c r="B138" s="19" t="s">
        <v>178</v>
      </c>
      <c r="C138" s="19" t="s">
        <v>169</v>
      </c>
      <c r="D138" s="19" t="s">
        <v>344</v>
      </c>
      <c r="E138" s="19">
        <v>39280</v>
      </c>
      <c r="F138" s="22" t="str">
        <f t="shared" si="6"/>
        <v>39280</v>
      </c>
      <c r="G138" s="19">
        <v>39280</v>
      </c>
      <c r="H138" s="20">
        <v>42953</v>
      </c>
      <c r="I138" s="19">
        <v>3</v>
      </c>
      <c r="J138" s="19" t="s">
        <v>181</v>
      </c>
      <c r="K138" s="19" t="s">
        <v>214</v>
      </c>
      <c r="L138" s="19">
        <v>1135</v>
      </c>
      <c r="M138" s="28">
        <f t="shared" ca="1" si="7"/>
        <v>18</v>
      </c>
      <c r="N138" s="34" t="s">
        <v>214</v>
      </c>
      <c r="O138" s="19" t="str" cm="1">
        <f t="array" ref="O138">IF(N138="unknown",INDEX($N$3:$N$152,MODE(MATCH($N$3:$N$152,$N$3:$N$152,0))),N138)</f>
        <v>user198@example.com</v>
      </c>
    </row>
    <row r="139" spans="1:15" x14ac:dyDescent="0.35">
      <c r="A139" s="19" t="s">
        <v>145</v>
      </c>
      <c r="B139" s="19" t="s">
        <v>162</v>
      </c>
      <c r="C139" s="19" t="s">
        <v>335</v>
      </c>
      <c r="D139" s="19" t="s">
        <v>343</v>
      </c>
      <c r="E139" s="19">
        <v>60335</v>
      </c>
      <c r="F139" s="22" t="str">
        <f t="shared" si="6"/>
        <v>60335</v>
      </c>
      <c r="G139" s="19">
        <v>60335</v>
      </c>
      <c r="H139" s="20">
        <v>42960</v>
      </c>
      <c r="I139" s="19">
        <v>4</v>
      </c>
      <c r="J139" s="19" t="s">
        <v>179</v>
      </c>
      <c r="K139" s="19" t="s">
        <v>227</v>
      </c>
      <c r="L139" s="19">
        <v>1136</v>
      </c>
      <c r="M139" s="28">
        <f t="shared" ca="1" si="7"/>
        <v>11</v>
      </c>
      <c r="N139" s="34" t="s">
        <v>227</v>
      </c>
      <c r="O139" s="19" t="str" cm="1">
        <f t="array" ref="O139">IF(N139="unknown",INDEX($N$3:$N$152,MODE(MATCH($N$3:$N$152,$N$3:$N$152,0))),N139)</f>
        <v>user59@example.com</v>
      </c>
    </row>
    <row r="140" spans="1:15" x14ac:dyDescent="0.35">
      <c r="A140" s="19" t="s">
        <v>146</v>
      </c>
      <c r="B140" s="19" t="s">
        <v>164</v>
      </c>
      <c r="C140" s="19" t="s">
        <v>167</v>
      </c>
      <c r="D140" s="19" t="s">
        <v>341</v>
      </c>
      <c r="E140" s="19">
        <v>84968</v>
      </c>
      <c r="F140" s="22" t="str">
        <f t="shared" si="6"/>
        <v>84968</v>
      </c>
      <c r="G140" s="19">
        <v>84968</v>
      </c>
      <c r="H140" s="20">
        <v>42967</v>
      </c>
      <c r="I140" s="19">
        <v>3</v>
      </c>
      <c r="J140" s="19" t="s">
        <v>178</v>
      </c>
      <c r="K140" s="19" t="s">
        <v>276</v>
      </c>
      <c r="L140" s="19">
        <v>1137</v>
      </c>
      <c r="M140" s="28">
        <f t="shared" ca="1" si="7"/>
        <v>4</v>
      </c>
      <c r="N140" s="34" t="s">
        <v>276</v>
      </c>
      <c r="O140" s="19" t="str" cm="1">
        <f t="array" ref="O140">IF(N140="unknown",INDEX($N$3:$N$152,MODE(MATCH($N$3:$N$152,$N$3:$N$152,0))),N140)</f>
        <v>user165@example.com</v>
      </c>
    </row>
    <row r="141" spans="1:15" x14ac:dyDescent="0.35">
      <c r="A141" s="19" t="s">
        <v>147</v>
      </c>
      <c r="B141" s="19" t="s">
        <v>164</v>
      </c>
      <c r="C141" s="19" t="s">
        <v>337</v>
      </c>
      <c r="D141" s="19" t="s">
        <v>345</v>
      </c>
      <c r="E141" s="19">
        <v>84750</v>
      </c>
      <c r="F141" s="22" t="str">
        <f t="shared" si="6"/>
        <v>84750</v>
      </c>
      <c r="G141" s="19">
        <v>84750</v>
      </c>
      <c r="H141" s="20">
        <v>42974</v>
      </c>
      <c r="I141" s="19">
        <v>4</v>
      </c>
      <c r="J141" s="19" t="s">
        <v>181</v>
      </c>
      <c r="K141" s="19" t="s">
        <v>195</v>
      </c>
      <c r="L141" s="19">
        <v>1138</v>
      </c>
      <c r="M141" s="28">
        <f t="shared" ca="1" si="7"/>
        <v>28</v>
      </c>
      <c r="N141" s="34" t="s">
        <v>195</v>
      </c>
      <c r="O141" s="19" t="str" cm="1">
        <f t="array" ref="O141">IF(N141="unknown",INDEX($N$3:$N$152,MODE(MATCH($N$3:$N$152,$N$3:$N$152,0))),N141)</f>
        <v>user3@example.com</v>
      </c>
    </row>
    <row r="142" spans="1:15" x14ac:dyDescent="0.35">
      <c r="A142" s="19" t="s">
        <v>148</v>
      </c>
      <c r="B142" s="19" t="s">
        <v>165</v>
      </c>
      <c r="C142" s="19" t="s">
        <v>169</v>
      </c>
      <c r="D142" s="19" t="s">
        <v>340</v>
      </c>
      <c r="E142" s="19">
        <v>73348</v>
      </c>
      <c r="F142" s="22" t="str">
        <f t="shared" si="6"/>
        <v>73348</v>
      </c>
      <c r="G142" s="19">
        <v>73348</v>
      </c>
      <c r="H142" s="20">
        <v>42981</v>
      </c>
      <c r="I142" s="19">
        <v>2</v>
      </c>
      <c r="J142" s="19" t="s">
        <v>178</v>
      </c>
      <c r="K142" s="19" t="s">
        <v>243</v>
      </c>
      <c r="L142" s="19">
        <v>1139</v>
      </c>
      <c r="M142" s="28">
        <f t="shared" ca="1" si="7"/>
        <v>21</v>
      </c>
      <c r="N142" s="34" t="s">
        <v>243</v>
      </c>
      <c r="O142" s="19" t="str" cm="1">
        <f t="array" ref="O142">IF(N142="unknown",INDEX($N$3:$N$152,MODE(MATCH($N$3:$N$152,$N$3:$N$152,0))),N142)</f>
        <v>user22@example.com</v>
      </c>
    </row>
    <row r="143" spans="1:15" x14ac:dyDescent="0.35">
      <c r="A143" s="19" t="s">
        <v>149</v>
      </c>
      <c r="B143" s="19" t="s">
        <v>164</v>
      </c>
      <c r="C143" s="19" t="s">
        <v>336</v>
      </c>
      <c r="D143" s="19" t="s">
        <v>342</v>
      </c>
      <c r="E143" s="19" t="s">
        <v>177</v>
      </c>
      <c r="F143" s="22" t="str">
        <f t="shared" si="6"/>
        <v>0</v>
      </c>
      <c r="G143" s="19">
        <v>67929</v>
      </c>
      <c r="H143" s="20">
        <v>42988</v>
      </c>
      <c r="I143" s="19">
        <v>4</v>
      </c>
      <c r="J143" s="19" t="s">
        <v>179</v>
      </c>
      <c r="K143" s="19" t="s">
        <v>182</v>
      </c>
      <c r="L143" s="19">
        <v>1140</v>
      </c>
      <c r="M143" s="28">
        <f t="shared" ca="1" si="7"/>
        <v>14</v>
      </c>
      <c r="N143" s="34" t="s">
        <v>340</v>
      </c>
      <c r="O143" s="19" t="str" cm="1">
        <f t="array" ref="O143">IF(N143="unknown",INDEX($N$3:$N$152,MODE(MATCH($N$3:$N$152,$N$3:$N$152,0))),N143)</f>
        <v>unknown</v>
      </c>
    </row>
    <row r="144" spans="1:15" x14ac:dyDescent="0.35">
      <c r="A144" s="19" t="s">
        <v>150</v>
      </c>
      <c r="B144" s="19" t="s">
        <v>162</v>
      </c>
      <c r="C144" s="19" t="s">
        <v>337</v>
      </c>
      <c r="D144" s="19" t="s">
        <v>342</v>
      </c>
      <c r="E144" s="19">
        <v>66882</v>
      </c>
      <c r="F144" s="22" t="str">
        <f t="shared" si="6"/>
        <v>66882</v>
      </c>
      <c r="G144" s="19">
        <v>66882</v>
      </c>
      <c r="H144" s="20">
        <v>42995</v>
      </c>
      <c r="I144" s="19">
        <v>5</v>
      </c>
      <c r="J144" s="19" t="s">
        <v>179</v>
      </c>
      <c r="K144" s="19" t="s">
        <v>207</v>
      </c>
      <c r="L144" s="19">
        <v>1141</v>
      </c>
      <c r="M144" s="28">
        <f t="shared" ca="1" si="7"/>
        <v>7</v>
      </c>
      <c r="N144" s="34" t="s">
        <v>207</v>
      </c>
      <c r="O144" s="19" t="str" cm="1">
        <f t="array" ref="O144">IF(N144="unknown",INDEX($N$3:$N$152,MODE(MATCH($N$3:$N$152,$N$3:$N$152,0))),N144)</f>
        <v>user103@example.com</v>
      </c>
    </row>
    <row r="145" spans="1:15" x14ac:dyDescent="0.35">
      <c r="A145" s="19" t="s">
        <v>151</v>
      </c>
      <c r="B145" s="19" t="s">
        <v>160</v>
      </c>
      <c r="C145" s="19" t="s">
        <v>337</v>
      </c>
      <c r="D145" s="19" t="s">
        <v>340</v>
      </c>
      <c r="E145" s="19">
        <v>86775</v>
      </c>
      <c r="F145" s="22" t="str">
        <f t="shared" si="6"/>
        <v>86775</v>
      </c>
      <c r="G145" s="19">
        <v>86775</v>
      </c>
      <c r="H145" s="20">
        <v>43002</v>
      </c>
      <c r="I145" s="19">
        <v>3</v>
      </c>
      <c r="J145" s="19" t="s">
        <v>179</v>
      </c>
      <c r="K145" s="19" t="s">
        <v>212</v>
      </c>
      <c r="L145" s="19">
        <v>1142</v>
      </c>
      <c r="M145" s="28">
        <f t="shared" ca="1" si="7"/>
        <v>0</v>
      </c>
      <c r="N145" s="34" t="s">
        <v>212</v>
      </c>
      <c r="O145" s="19" t="str" cm="1">
        <f t="array" ref="O145">IF(N145="unknown",INDEX($N$3:$N$152,MODE(MATCH($N$3:$N$152,$N$3:$N$152,0))),N145)</f>
        <v>user190@example.com</v>
      </c>
    </row>
    <row r="146" spans="1:15" x14ac:dyDescent="0.35">
      <c r="A146" s="19" t="s">
        <v>152</v>
      </c>
      <c r="B146" s="19" t="s">
        <v>164</v>
      </c>
      <c r="C146" s="19" t="s">
        <v>336</v>
      </c>
      <c r="D146" s="19" t="s">
        <v>344</v>
      </c>
      <c r="E146" s="19">
        <v>91620</v>
      </c>
      <c r="F146" s="22" t="str">
        <f t="shared" si="6"/>
        <v>91620</v>
      </c>
      <c r="G146" s="19">
        <v>91620</v>
      </c>
      <c r="H146" s="20">
        <v>43009</v>
      </c>
      <c r="I146" s="19">
        <v>3</v>
      </c>
      <c r="J146" s="19" t="s">
        <v>178</v>
      </c>
      <c r="K146" s="19" t="s">
        <v>277</v>
      </c>
      <c r="L146" s="19">
        <v>1143</v>
      </c>
      <c r="M146" s="28">
        <f t="shared" ca="1" si="7"/>
        <v>23</v>
      </c>
      <c r="N146" s="34" t="s">
        <v>277</v>
      </c>
      <c r="O146" s="19" t="str" cm="1">
        <f t="array" ref="O146">IF(N146="unknown",INDEX($N$3:$N$152,MODE(MATCH($N$3:$N$152,$N$3:$N$152,0))),N146)</f>
        <v>user114@example.com</v>
      </c>
    </row>
    <row r="147" spans="1:15" x14ac:dyDescent="0.35">
      <c r="A147" s="19" t="s">
        <v>153</v>
      </c>
      <c r="B147" s="19" t="s">
        <v>159</v>
      </c>
      <c r="C147" s="19" t="s">
        <v>338</v>
      </c>
      <c r="D147" s="19" t="s">
        <v>340</v>
      </c>
      <c r="E147" s="19">
        <v>94148</v>
      </c>
      <c r="F147" s="22" t="str">
        <f t="shared" si="6"/>
        <v>94148</v>
      </c>
      <c r="G147" s="19">
        <v>94148</v>
      </c>
      <c r="H147" s="20">
        <v>43016</v>
      </c>
      <c r="I147" s="19">
        <v>2</v>
      </c>
      <c r="J147" s="19" t="s">
        <v>178</v>
      </c>
      <c r="K147" s="19" t="s">
        <v>278</v>
      </c>
      <c r="L147" s="19">
        <v>1144</v>
      </c>
      <c r="M147" s="28">
        <f t="shared" ca="1" si="7"/>
        <v>16</v>
      </c>
      <c r="N147" s="34" t="s">
        <v>278</v>
      </c>
      <c r="O147" s="19" t="str" cm="1">
        <f t="array" ref="O147">IF(N147="unknown",INDEX($N$3:$N$152,MODE(MATCH($N$3:$N$152,$N$3:$N$152,0))),N147)</f>
        <v>user53@example.com</v>
      </c>
    </row>
    <row r="148" spans="1:15" x14ac:dyDescent="0.35">
      <c r="A148" s="19" t="s">
        <v>154</v>
      </c>
      <c r="B148" s="19" t="s">
        <v>163</v>
      </c>
      <c r="C148" s="19" t="s">
        <v>336</v>
      </c>
      <c r="D148" s="19" t="s">
        <v>345</v>
      </c>
      <c r="E148" s="19">
        <v>35627</v>
      </c>
      <c r="F148" s="22" t="str">
        <f t="shared" si="6"/>
        <v>35627</v>
      </c>
      <c r="G148" s="19">
        <v>35627</v>
      </c>
      <c r="H148" s="20">
        <v>43023</v>
      </c>
      <c r="I148" s="19">
        <v>5</v>
      </c>
      <c r="J148" s="19" t="s">
        <v>181</v>
      </c>
      <c r="K148" s="19" t="s">
        <v>275</v>
      </c>
      <c r="L148" s="19">
        <v>1145</v>
      </c>
      <c r="M148" s="28">
        <f t="shared" ca="1" si="7"/>
        <v>9</v>
      </c>
      <c r="N148" s="34" t="s">
        <v>275</v>
      </c>
      <c r="O148" s="19" t="str" cm="1">
        <f t="array" ref="O148">IF(N148="unknown",INDEX($N$3:$N$152,MODE(MATCH($N$3:$N$152,$N$3:$N$152,0))),N148)</f>
        <v>user188@example.com</v>
      </c>
    </row>
    <row r="149" spans="1:15" x14ac:dyDescent="0.35">
      <c r="A149" s="19" t="s">
        <v>155</v>
      </c>
      <c r="B149" s="19" t="s">
        <v>161</v>
      </c>
      <c r="C149" s="19" t="s">
        <v>337</v>
      </c>
      <c r="D149" s="19" t="s">
        <v>342</v>
      </c>
      <c r="E149" s="19">
        <v>57141</v>
      </c>
      <c r="F149" s="22" t="str">
        <f t="shared" si="6"/>
        <v>57141</v>
      </c>
      <c r="G149" s="19">
        <v>57141</v>
      </c>
      <c r="H149" s="20">
        <v>43030</v>
      </c>
      <c r="I149" s="19">
        <v>2</v>
      </c>
      <c r="J149" s="19" t="s">
        <v>178</v>
      </c>
      <c r="K149" s="19" t="s">
        <v>276</v>
      </c>
      <c r="L149" s="19">
        <v>1146</v>
      </c>
      <c r="M149" s="28">
        <f t="shared" ca="1" si="7"/>
        <v>2</v>
      </c>
      <c r="N149" s="34" t="s">
        <v>276</v>
      </c>
      <c r="O149" s="19" t="str" cm="1">
        <f t="array" ref="O149">IF(N149="unknown",INDEX($N$3:$N$152,MODE(MATCH($N$3:$N$152,$N$3:$N$152,0))),N149)</f>
        <v>user165@example.com</v>
      </c>
    </row>
    <row r="150" spans="1:15" x14ac:dyDescent="0.35">
      <c r="A150" s="19" t="s">
        <v>156</v>
      </c>
      <c r="B150" s="19" t="s">
        <v>165</v>
      </c>
      <c r="C150" s="19" t="s">
        <v>336</v>
      </c>
      <c r="D150" s="19" t="s">
        <v>345</v>
      </c>
      <c r="E150" s="19">
        <v>65270</v>
      </c>
      <c r="F150" s="22" t="str">
        <f t="shared" si="6"/>
        <v>65270</v>
      </c>
      <c r="G150" s="19">
        <v>65270</v>
      </c>
      <c r="H150" s="20">
        <v>43037</v>
      </c>
      <c r="I150" s="19">
        <v>1</v>
      </c>
      <c r="J150" s="19" t="s">
        <v>178</v>
      </c>
      <c r="K150" s="19" t="s">
        <v>279</v>
      </c>
      <c r="L150" s="19">
        <v>1147</v>
      </c>
      <c r="M150" s="28">
        <f t="shared" ca="1" si="7"/>
        <v>26</v>
      </c>
      <c r="N150" s="34" t="s">
        <v>279</v>
      </c>
      <c r="O150" s="19" t="str" cm="1">
        <f t="array" ref="O150">IF(N150="unknown",INDEX($N$3:$N$152,MODE(MATCH($N$3:$N$152,$N$3:$N$152,0))),N150)</f>
        <v>user163@example.com</v>
      </c>
    </row>
    <row r="151" spans="1:15" x14ac:dyDescent="0.35">
      <c r="A151" s="19" t="s">
        <v>157</v>
      </c>
      <c r="B151" s="19" t="s">
        <v>165</v>
      </c>
      <c r="C151" s="19" t="s">
        <v>338</v>
      </c>
      <c r="D151" s="19" t="s">
        <v>344</v>
      </c>
      <c r="E151" s="19">
        <v>67335</v>
      </c>
      <c r="F151" s="22" t="str">
        <f t="shared" si="6"/>
        <v>67335</v>
      </c>
      <c r="G151" s="19">
        <v>67335</v>
      </c>
      <c r="H151" s="20">
        <v>43044</v>
      </c>
      <c r="I151" s="19">
        <v>1</v>
      </c>
      <c r="J151" s="19" t="s">
        <v>179</v>
      </c>
      <c r="K151" s="19" t="s">
        <v>233</v>
      </c>
      <c r="L151" s="19">
        <v>1148</v>
      </c>
      <c r="M151" s="28">
        <f t="shared" ca="1" si="7"/>
        <v>19</v>
      </c>
      <c r="N151" s="34" t="s">
        <v>233</v>
      </c>
      <c r="O151" s="19" t="str" cm="1">
        <f t="array" ref="O151">IF(N151="unknown",INDEX($N$3:$N$152,MODE(MATCH($N$3:$N$152,$N$3:$N$152,0))),N151)</f>
        <v>user112@example.com</v>
      </c>
    </row>
    <row r="152" spans="1:15" x14ac:dyDescent="0.35">
      <c r="A152" s="19" t="s">
        <v>158</v>
      </c>
      <c r="B152" s="19" t="s">
        <v>163</v>
      </c>
      <c r="C152" s="19" t="s">
        <v>337</v>
      </c>
      <c r="D152" s="19" t="s">
        <v>343</v>
      </c>
      <c r="E152" s="19">
        <v>98475</v>
      </c>
      <c r="F152" s="22" t="str">
        <f t="shared" si="6"/>
        <v>98475</v>
      </c>
      <c r="G152" s="19">
        <v>98475</v>
      </c>
      <c r="H152" s="20">
        <v>43051</v>
      </c>
      <c r="I152" s="19">
        <v>5</v>
      </c>
      <c r="J152" s="19" t="s">
        <v>179</v>
      </c>
      <c r="K152" s="19" t="s">
        <v>280</v>
      </c>
      <c r="L152" s="19">
        <v>1149</v>
      </c>
      <c r="M152" s="28">
        <f t="shared" ca="1" si="7"/>
        <v>12</v>
      </c>
      <c r="N152" s="34" t="s">
        <v>280</v>
      </c>
      <c r="O152" s="19" t="str" cm="1">
        <f t="array" ref="O152">IF(N152="unknown",INDEX($N$3:$N$152,MODE(MATCH($N$3:$N$152,$N$3:$N$152,0))),N152)</f>
        <v>user30@example.com</v>
      </c>
    </row>
    <row r="153" spans="1:15" x14ac:dyDescent="0.35">
      <c r="F153" s="27"/>
      <c r="H153" s="21"/>
    </row>
    <row r="154" spans="1:15" x14ac:dyDescent="0.35">
      <c r="F154" s="31"/>
      <c r="G154" s="32"/>
      <c r="H154" s="21"/>
      <c r="M154" s="32"/>
    </row>
    <row r="155" spans="1:15" s="23" customFormat="1" ht="58" x14ac:dyDescent="0.35">
      <c r="A155" s="30" t="s">
        <v>412</v>
      </c>
      <c r="B155" s="18"/>
      <c r="C155" s="18"/>
      <c r="D155" s="18" t="s">
        <v>339</v>
      </c>
      <c r="E155" s="18"/>
      <c r="F155" s="18"/>
      <c r="G155" s="18"/>
      <c r="H155" s="18" t="s">
        <v>389</v>
      </c>
      <c r="I155" s="18"/>
      <c r="J155" s="18"/>
      <c r="K155" s="18"/>
      <c r="L155" s="18" t="s">
        <v>393</v>
      </c>
      <c r="M155" s="18" t="s">
        <v>399</v>
      </c>
      <c r="N155" s="18"/>
      <c r="O155" s="18" t="s">
        <v>408</v>
      </c>
    </row>
    <row r="156" spans="1:15" ht="37" x14ac:dyDescent="0.35">
      <c r="A156" s="9" t="s">
        <v>0</v>
      </c>
      <c r="B156" s="9" t="s">
        <v>402</v>
      </c>
      <c r="C156" s="10" t="s">
        <v>403</v>
      </c>
      <c r="D156" s="9" t="s">
        <v>310</v>
      </c>
      <c r="E156" s="9" t="s">
        <v>4</v>
      </c>
      <c r="F156" s="10" t="s">
        <v>304</v>
      </c>
      <c r="G156" s="10" t="s">
        <v>305</v>
      </c>
      <c r="H156" s="9" t="s">
        <v>404</v>
      </c>
      <c r="I156" s="10" t="s">
        <v>6</v>
      </c>
      <c r="J156" s="10" t="s">
        <v>309</v>
      </c>
      <c r="K156" s="16" t="s">
        <v>8</v>
      </c>
      <c r="L156" s="9" t="s">
        <v>392</v>
      </c>
      <c r="M156" s="29" t="s">
        <v>401</v>
      </c>
      <c r="N156" s="9" t="s">
        <v>8</v>
      </c>
      <c r="O156" s="9" t="s">
        <v>409</v>
      </c>
    </row>
    <row r="157" spans="1:15" x14ac:dyDescent="0.35">
      <c r="A157" s="30" t="s">
        <v>382</v>
      </c>
      <c r="F157" s="31"/>
      <c r="G157" s="30" t="s">
        <v>405</v>
      </c>
      <c r="H157" s="21"/>
      <c r="M157" s="32"/>
    </row>
    <row r="158" spans="1:15" x14ac:dyDescent="0.35">
      <c r="F158" s="31"/>
      <c r="G158" s="32"/>
      <c r="H158" s="21"/>
      <c r="M158" s="32"/>
    </row>
    <row r="159" spans="1:15" x14ac:dyDescent="0.35">
      <c r="F159" s="31"/>
      <c r="G159" s="32"/>
      <c r="H159" s="21"/>
      <c r="M159" s="32"/>
    </row>
    <row r="160" spans="1:15" x14ac:dyDescent="0.35">
      <c r="F160" s="31"/>
      <c r="G160" s="32"/>
      <c r="H160" s="21"/>
      <c r="M160" s="32"/>
    </row>
    <row r="161" spans="1:13" x14ac:dyDescent="0.35">
      <c r="F161" s="31"/>
      <c r="G161" s="32"/>
      <c r="H161" s="21"/>
      <c r="M161" s="32"/>
    </row>
    <row r="162" spans="1:13" x14ac:dyDescent="0.35">
      <c r="F162" s="31"/>
      <c r="G162" s="32"/>
      <c r="H162" s="21"/>
      <c r="M162" s="32"/>
    </row>
    <row r="163" spans="1:13" x14ac:dyDescent="0.35">
      <c r="F163" s="31"/>
      <c r="G163" s="32"/>
      <c r="H163" s="21"/>
      <c r="M163" s="32"/>
    </row>
    <row r="164" spans="1:13" x14ac:dyDescent="0.35">
      <c r="F164" s="31"/>
      <c r="G164" s="32"/>
      <c r="H164" s="21"/>
      <c r="M164" s="32"/>
    </row>
    <row r="165" spans="1:13" x14ac:dyDescent="0.35">
      <c r="F165" s="31"/>
      <c r="G165" s="32"/>
      <c r="H165" s="21"/>
      <c r="M165" s="32"/>
    </row>
    <row r="166" spans="1:13" x14ac:dyDescent="0.35">
      <c r="F166" s="31"/>
      <c r="G166" s="32"/>
      <c r="H166" s="21"/>
      <c r="M166" s="32"/>
    </row>
    <row r="167" spans="1:13" x14ac:dyDescent="0.35">
      <c r="F167" s="31"/>
      <c r="G167" s="32"/>
      <c r="H167" s="21"/>
      <c r="M167" s="32"/>
    </row>
    <row r="168" spans="1:13" x14ac:dyDescent="0.35">
      <c r="F168" s="31"/>
      <c r="G168" s="32"/>
      <c r="H168" s="21"/>
      <c r="M168" s="32"/>
    </row>
    <row r="169" spans="1:13" x14ac:dyDescent="0.35">
      <c r="F169" s="31"/>
      <c r="G169" s="32"/>
      <c r="H169" s="21"/>
      <c r="M169" s="32"/>
    </row>
    <row r="170" spans="1:13" x14ac:dyDescent="0.35">
      <c r="F170" s="31"/>
      <c r="G170" s="32"/>
      <c r="H170" s="21"/>
      <c r="M170" s="32"/>
    </row>
    <row r="171" spans="1:13" x14ac:dyDescent="0.35">
      <c r="F171" s="31"/>
      <c r="G171" s="32"/>
      <c r="H171" s="21"/>
      <c r="M171" s="32"/>
    </row>
    <row r="172" spans="1:13" x14ac:dyDescent="0.35">
      <c r="F172" s="31"/>
      <c r="G172" s="32"/>
      <c r="H172" s="21"/>
      <c r="M172" s="32"/>
    </row>
    <row r="173" spans="1:13" x14ac:dyDescent="0.35">
      <c r="F173" s="31"/>
      <c r="G173" s="32"/>
      <c r="H173" s="21"/>
      <c r="M173" s="32"/>
    </row>
    <row r="174" spans="1:13" x14ac:dyDescent="0.35">
      <c r="F174" s="31"/>
      <c r="G174" s="32"/>
      <c r="H174" s="21"/>
      <c r="M174" s="32"/>
    </row>
    <row r="175" spans="1:13" x14ac:dyDescent="0.35">
      <c r="A175" s="64" t="s">
        <v>383</v>
      </c>
      <c r="B175" s="64"/>
      <c r="C175" s="64"/>
      <c r="D175" s="64"/>
      <c r="M175" s="32"/>
    </row>
    <row r="176" spans="1:13" x14ac:dyDescent="0.35">
      <c r="A176" s="66" t="s">
        <v>4</v>
      </c>
      <c r="B176" s="67"/>
      <c r="C176" s="68" t="s">
        <v>328</v>
      </c>
      <c r="D176" s="69"/>
      <c r="M176" s="32"/>
    </row>
    <row r="177" spans="1:13" x14ac:dyDescent="0.35">
      <c r="A177" s="25" t="s">
        <v>316</v>
      </c>
      <c r="B177" s="26">
        <v>66240.566666666666</v>
      </c>
      <c r="C177" s="25" t="s">
        <v>316</v>
      </c>
      <c r="D177" s="25">
        <v>2.8933333333333335</v>
      </c>
      <c r="M177" s="32"/>
    </row>
    <row r="178" spans="1:13" x14ac:dyDescent="0.35">
      <c r="A178" s="25" t="s">
        <v>317</v>
      </c>
      <c r="B178" s="26">
        <v>1718.5655770792837</v>
      </c>
      <c r="C178" s="25" t="s">
        <v>317</v>
      </c>
      <c r="D178" s="25">
        <v>0.10750231948662189</v>
      </c>
      <c r="M178" s="32"/>
    </row>
    <row r="179" spans="1:13" x14ac:dyDescent="0.35">
      <c r="A179" s="25" t="s">
        <v>318</v>
      </c>
      <c r="B179" s="26">
        <v>66330.5</v>
      </c>
      <c r="C179" s="25" t="s">
        <v>318</v>
      </c>
      <c r="D179" s="25">
        <v>3</v>
      </c>
    </row>
    <row r="180" spans="1:13" x14ac:dyDescent="0.35">
      <c r="A180" s="25" t="s">
        <v>308</v>
      </c>
      <c r="B180" s="26">
        <v>63687</v>
      </c>
      <c r="C180" s="25" t="s">
        <v>308</v>
      </c>
      <c r="D180" s="25">
        <v>3</v>
      </c>
    </row>
    <row r="181" spans="1:13" x14ac:dyDescent="0.35">
      <c r="A181" s="25" t="s">
        <v>319</v>
      </c>
      <c r="B181" s="26">
        <v>21048.043766779792</v>
      </c>
      <c r="C181" s="25" t="s">
        <v>319</v>
      </c>
      <c r="D181" s="25">
        <v>1.3166291445394025</v>
      </c>
    </row>
    <row r="182" spans="1:13" x14ac:dyDescent="0.35">
      <c r="A182" s="25" t="s">
        <v>320</v>
      </c>
      <c r="B182" s="26">
        <v>443020146.40827769</v>
      </c>
      <c r="C182" s="25" t="s">
        <v>320</v>
      </c>
      <c r="D182" s="25">
        <v>1.7335123042505589</v>
      </c>
    </row>
    <row r="183" spans="1:13" x14ac:dyDescent="0.35">
      <c r="A183" s="25" t="s">
        <v>321</v>
      </c>
      <c r="B183" s="26">
        <v>-1.1897402117668621</v>
      </c>
      <c r="C183" s="25" t="s">
        <v>321</v>
      </c>
      <c r="D183" s="25">
        <v>-0.92673447257923369</v>
      </c>
    </row>
    <row r="184" spans="1:13" x14ac:dyDescent="0.35">
      <c r="A184" s="25" t="s">
        <v>322</v>
      </c>
      <c r="B184" s="26">
        <v>-0.11584427781012709</v>
      </c>
      <c r="C184" s="25" t="s">
        <v>322</v>
      </c>
      <c r="D184" s="25">
        <v>0.10978027104089233</v>
      </c>
    </row>
    <row r="185" spans="1:13" x14ac:dyDescent="0.35">
      <c r="A185" s="25" t="s">
        <v>323</v>
      </c>
      <c r="B185" s="26">
        <v>69341</v>
      </c>
      <c r="C185" s="25" t="s">
        <v>323</v>
      </c>
      <c r="D185" s="25">
        <v>4</v>
      </c>
    </row>
    <row r="186" spans="1:13" x14ac:dyDescent="0.35">
      <c r="A186" s="25" t="s">
        <v>324</v>
      </c>
      <c r="B186" s="26">
        <v>30280</v>
      </c>
      <c r="C186" s="25" t="s">
        <v>324</v>
      </c>
      <c r="D186" s="25">
        <v>1</v>
      </c>
    </row>
    <row r="187" spans="1:13" x14ac:dyDescent="0.35">
      <c r="A187" s="25" t="s">
        <v>325</v>
      </c>
      <c r="B187" s="26">
        <v>99621</v>
      </c>
      <c r="C187" s="25" t="s">
        <v>325</v>
      </c>
      <c r="D187" s="25">
        <v>5</v>
      </c>
    </row>
    <row r="188" spans="1:13" x14ac:dyDescent="0.35">
      <c r="A188" s="25" t="s">
        <v>326</v>
      </c>
      <c r="B188" s="26">
        <v>9936085</v>
      </c>
      <c r="C188" s="25" t="s">
        <v>326</v>
      </c>
      <c r="D188" s="25">
        <v>434</v>
      </c>
      <c r="E188" s="11"/>
    </row>
    <row r="189" spans="1:13" x14ac:dyDescent="0.35">
      <c r="A189" s="25" t="s">
        <v>327</v>
      </c>
      <c r="B189" s="26">
        <v>150</v>
      </c>
      <c r="C189" s="25" t="s">
        <v>327</v>
      </c>
      <c r="D189" s="25">
        <v>150</v>
      </c>
      <c r="E189" s="11"/>
      <c r="J189" s="1"/>
      <c r="K189" s="1"/>
    </row>
    <row r="190" spans="1:13" x14ac:dyDescent="0.35">
      <c r="E190" s="11"/>
      <c r="J190" s="1"/>
      <c r="K190" s="1"/>
    </row>
    <row r="191" spans="1:13" x14ac:dyDescent="0.35">
      <c r="E191" s="11"/>
      <c r="J191" s="1"/>
      <c r="K191" s="1"/>
    </row>
    <row r="192" spans="1:13" x14ac:dyDescent="0.35">
      <c r="A192" s="30" t="s">
        <v>384</v>
      </c>
      <c r="B192" s="70" t="s">
        <v>397</v>
      </c>
      <c r="C192" s="70"/>
      <c r="D192" s="70"/>
      <c r="E192" s="70"/>
      <c r="F192" s="70"/>
      <c r="G192" s="70"/>
      <c r="H192" s="70"/>
      <c r="I192" s="70"/>
      <c r="J192" s="70"/>
      <c r="K192" s="70"/>
      <c r="L192" s="70"/>
    </row>
    <row r="193" spans="1:12" ht="37" x14ac:dyDescent="0.35">
      <c r="A193" s="9" t="s">
        <v>0</v>
      </c>
      <c r="B193" s="9" t="s">
        <v>299</v>
      </c>
      <c r="C193" s="10" t="s">
        <v>300</v>
      </c>
      <c r="D193" s="9" t="s">
        <v>310</v>
      </c>
      <c r="E193" s="9" t="s">
        <v>4</v>
      </c>
      <c r="F193" s="10" t="s">
        <v>304</v>
      </c>
      <c r="G193" s="10" t="s">
        <v>305</v>
      </c>
      <c r="H193" s="9" t="s">
        <v>301</v>
      </c>
      <c r="I193" s="24" t="s">
        <v>6</v>
      </c>
      <c r="J193" s="10" t="s">
        <v>309</v>
      </c>
      <c r="K193" s="9" t="s">
        <v>8</v>
      </c>
      <c r="L193" s="9" t="s">
        <v>392</v>
      </c>
    </row>
    <row r="194" spans="1:12" x14ac:dyDescent="0.35">
      <c r="A194" s="19" t="s">
        <v>20</v>
      </c>
      <c r="B194" s="19" t="s">
        <v>163</v>
      </c>
      <c r="C194" s="19" t="s">
        <v>169</v>
      </c>
      <c r="D194" s="19" t="s">
        <v>342</v>
      </c>
      <c r="E194" s="19">
        <v>91180</v>
      </c>
      <c r="F194" s="19" t="s">
        <v>355</v>
      </c>
      <c r="G194" s="19">
        <v>91180</v>
      </c>
      <c r="H194" s="19">
        <v>42085</v>
      </c>
      <c r="I194" s="19">
        <v>5</v>
      </c>
      <c r="J194" s="19" t="s">
        <v>180</v>
      </c>
      <c r="K194" s="19" t="s">
        <v>192</v>
      </c>
      <c r="L194" s="19">
        <v>1011</v>
      </c>
    </row>
    <row r="195" spans="1:12" x14ac:dyDescent="0.35">
      <c r="A195" s="19" t="s">
        <v>21</v>
      </c>
      <c r="B195" s="19" t="s">
        <v>165</v>
      </c>
      <c r="C195" s="19" t="s">
        <v>336</v>
      </c>
      <c r="D195" s="19" t="s">
        <v>340</v>
      </c>
      <c r="E195" s="19">
        <v>96418</v>
      </c>
      <c r="F195" s="19" t="s">
        <v>356</v>
      </c>
      <c r="G195" s="19">
        <v>96418</v>
      </c>
      <c r="H195" s="19">
        <v>42092</v>
      </c>
      <c r="I195" s="19">
        <v>5</v>
      </c>
      <c r="J195" s="19" t="s">
        <v>180</v>
      </c>
      <c r="K195" s="19" t="s">
        <v>183</v>
      </c>
      <c r="L195" s="19">
        <v>1012</v>
      </c>
    </row>
    <row r="196" spans="1:12" x14ac:dyDescent="0.35">
      <c r="A196" s="19" t="s">
        <v>28</v>
      </c>
      <c r="B196" s="19" t="s">
        <v>159</v>
      </c>
      <c r="C196" s="19" t="s">
        <v>338</v>
      </c>
      <c r="D196" s="19" t="s">
        <v>343</v>
      </c>
      <c r="E196" s="19">
        <v>67531</v>
      </c>
      <c r="F196" s="19" t="s">
        <v>357</v>
      </c>
      <c r="G196" s="19">
        <v>67531</v>
      </c>
      <c r="H196" s="19">
        <v>42141</v>
      </c>
      <c r="I196" s="19">
        <v>5</v>
      </c>
      <c r="J196" s="19" t="s">
        <v>181</v>
      </c>
      <c r="K196" s="19" t="s">
        <v>199</v>
      </c>
      <c r="L196" s="19">
        <v>1019</v>
      </c>
    </row>
    <row r="197" spans="1:12" x14ac:dyDescent="0.35">
      <c r="A197" s="19" t="s">
        <v>31</v>
      </c>
      <c r="B197" s="19" t="s">
        <v>159</v>
      </c>
      <c r="C197" s="19" t="s">
        <v>335</v>
      </c>
      <c r="D197" s="19" t="s">
        <v>343</v>
      </c>
      <c r="E197" s="19">
        <v>38333</v>
      </c>
      <c r="F197" s="19" t="s">
        <v>358</v>
      </c>
      <c r="G197" s="19">
        <v>38333</v>
      </c>
      <c r="H197" s="19">
        <v>42162</v>
      </c>
      <c r="I197" s="19">
        <v>5</v>
      </c>
      <c r="J197" s="19" t="s">
        <v>178</v>
      </c>
      <c r="K197" s="19" t="s">
        <v>202</v>
      </c>
      <c r="L197" s="19">
        <v>1022</v>
      </c>
    </row>
    <row r="198" spans="1:12" x14ac:dyDescent="0.35">
      <c r="A198" s="19" t="s">
        <v>38</v>
      </c>
      <c r="B198" s="19" t="s">
        <v>165</v>
      </c>
      <c r="C198" s="19" t="s">
        <v>337</v>
      </c>
      <c r="D198" s="19" t="s">
        <v>344</v>
      </c>
      <c r="E198" s="19">
        <v>92959</v>
      </c>
      <c r="F198" s="19" t="s">
        <v>359</v>
      </c>
      <c r="G198" s="19">
        <v>92959</v>
      </c>
      <c r="H198" s="19">
        <v>42211</v>
      </c>
      <c r="I198" s="19">
        <v>5</v>
      </c>
      <c r="J198" s="19" t="s">
        <v>178</v>
      </c>
      <c r="K198" s="19" t="s">
        <v>209</v>
      </c>
      <c r="L198" s="19">
        <v>1029</v>
      </c>
    </row>
    <row r="199" spans="1:12" x14ac:dyDescent="0.35">
      <c r="A199" s="19" t="s">
        <v>47</v>
      </c>
      <c r="B199" s="19" t="s">
        <v>161</v>
      </c>
      <c r="C199" s="19" t="s">
        <v>337</v>
      </c>
      <c r="D199" s="19" t="s">
        <v>344</v>
      </c>
      <c r="E199" s="19">
        <v>52093</v>
      </c>
      <c r="F199" s="19" t="s">
        <v>360</v>
      </c>
      <c r="G199" s="19">
        <v>52093</v>
      </c>
      <c r="H199" s="19">
        <v>42274</v>
      </c>
      <c r="I199" s="19">
        <v>5</v>
      </c>
      <c r="J199" s="19" t="s">
        <v>178</v>
      </c>
      <c r="K199" s="19" t="s">
        <v>217</v>
      </c>
      <c r="L199" s="19">
        <v>1038</v>
      </c>
    </row>
    <row r="200" spans="1:12" x14ac:dyDescent="0.35">
      <c r="A200" s="19" t="s">
        <v>58</v>
      </c>
      <c r="B200" s="19" t="s">
        <v>159</v>
      </c>
      <c r="C200" s="19" t="s">
        <v>167</v>
      </c>
      <c r="D200" s="19" t="s">
        <v>341</v>
      </c>
      <c r="E200" s="19">
        <v>78720</v>
      </c>
      <c r="F200" s="19" t="s">
        <v>361</v>
      </c>
      <c r="G200" s="19">
        <v>78720</v>
      </c>
      <c r="H200" s="19">
        <v>42351</v>
      </c>
      <c r="I200" s="19">
        <v>5</v>
      </c>
      <c r="J200" s="19" t="s">
        <v>181</v>
      </c>
      <c r="K200" s="19" t="s">
        <v>219</v>
      </c>
      <c r="L200" s="19">
        <v>1049</v>
      </c>
    </row>
    <row r="201" spans="1:12" x14ac:dyDescent="0.35">
      <c r="A201" s="19" t="s">
        <v>60</v>
      </c>
      <c r="B201" s="19" t="s">
        <v>163</v>
      </c>
      <c r="C201" s="19" t="s">
        <v>336</v>
      </c>
      <c r="D201" s="19" t="s">
        <v>343</v>
      </c>
      <c r="E201" s="19">
        <v>39423</v>
      </c>
      <c r="F201" s="19" t="s">
        <v>363</v>
      </c>
      <c r="G201" s="19">
        <v>39423</v>
      </c>
      <c r="H201" s="19">
        <v>42365</v>
      </c>
      <c r="I201" s="19">
        <v>5</v>
      </c>
      <c r="J201" s="19" t="s">
        <v>178</v>
      </c>
      <c r="K201" s="19" t="s">
        <v>227</v>
      </c>
      <c r="L201" s="19">
        <v>1051</v>
      </c>
    </row>
    <row r="202" spans="1:12" x14ac:dyDescent="0.35">
      <c r="A202" s="19" t="s">
        <v>63</v>
      </c>
      <c r="B202" s="19" t="s">
        <v>165</v>
      </c>
      <c r="C202" s="19" t="s">
        <v>337</v>
      </c>
      <c r="D202" s="19" t="s">
        <v>344</v>
      </c>
      <c r="E202" s="19">
        <v>75633</v>
      </c>
      <c r="F202" s="19" t="s">
        <v>365</v>
      </c>
      <c r="G202" s="19">
        <v>75633</v>
      </c>
      <c r="H202" s="19">
        <v>42386</v>
      </c>
      <c r="I202" s="19">
        <v>5</v>
      </c>
      <c r="J202" s="19" t="s">
        <v>179</v>
      </c>
      <c r="K202" s="19" t="s">
        <v>229</v>
      </c>
      <c r="L202" s="19">
        <v>1054</v>
      </c>
    </row>
    <row r="203" spans="1:12" x14ac:dyDescent="0.35">
      <c r="A203" s="19" t="s">
        <v>64</v>
      </c>
      <c r="B203" s="19" t="s">
        <v>164</v>
      </c>
      <c r="C203" s="19" t="s">
        <v>338</v>
      </c>
      <c r="D203" s="19" t="s">
        <v>342</v>
      </c>
      <c r="E203" s="19">
        <v>74815</v>
      </c>
      <c r="F203" s="19" t="s">
        <v>366</v>
      </c>
      <c r="G203" s="19">
        <v>74815</v>
      </c>
      <c r="H203" s="19">
        <v>42393</v>
      </c>
      <c r="I203" s="19">
        <v>5</v>
      </c>
      <c r="J203" s="19" t="s">
        <v>181</v>
      </c>
      <c r="K203" s="19" t="s">
        <v>230</v>
      </c>
      <c r="L203" s="19">
        <v>1055</v>
      </c>
    </row>
    <row r="204" spans="1:12" x14ac:dyDescent="0.35">
      <c r="A204" s="19" t="s">
        <v>67</v>
      </c>
      <c r="B204" s="19" t="s">
        <v>163</v>
      </c>
      <c r="C204" s="19" t="s">
        <v>337</v>
      </c>
      <c r="D204" s="19" t="s">
        <v>340</v>
      </c>
      <c r="E204" s="19">
        <v>84924</v>
      </c>
      <c r="F204" s="19" t="s">
        <v>367</v>
      </c>
      <c r="G204" s="19">
        <v>84924</v>
      </c>
      <c r="H204" s="19">
        <v>42414</v>
      </c>
      <c r="I204" s="19">
        <v>5</v>
      </c>
      <c r="J204" s="19" t="s">
        <v>180</v>
      </c>
      <c r="K204" s="19" t="s">
        <v>232</v>
      </c>
      <c r="L204" s="19">
        <v>1058</v>
      </c>
    </row>
    <row r="205" spans="1:12" x14ac:dyDescent="0.35">
      <c r="A205" s="19" t="s">
        <v>69</v>
      </c>
      <c r="B205" s="19" t="s">
        <v>178</v>
      </c>
      <c r="C205" s="19" t="s">
        <v>337</v>
      </c>
      <c r="D205" s="19" t="s">
        <v>341</v>
      </c>
      <c r="E205" s="19" t="s">
        <v>177</v>
      </c>
      <c r="F205" s="19" t="s">
        <v>354</v>
      </c>
      <c r="G205" s="19">
        <v>63687</v>
      </c>
      <c r="H205" s="19" t="s">
        <v>178</v>
      </c>
      <c r="I205" s="19">
        <v>5</v>
      </c>
      <c r="J205" s="19" t="s">
        <v>178</v>
      </c>
      <c r="K205" s="19" t="s">
        <v>233</v>
      </c>
      <c r="L205" s="19">
        <v>1060</v>
      </c>
    </row>
    <row r="206" spans="1:12" x14ac:dyDescent="0.35">
      <c r="A206" s="19" t="s">
        <v>71</v>
      </c>
      <c r="B206" s="19" t="s">
        <v>164</v>
      </c>
      <c r="C206" s="19" t="s">
        <v>169</v>
      </c>
      <c r="D206" s="19" t="s">
        <v>344</v>
      </c>
      <c r="E206" s="19">
        <v>97981</v>
      </c>
      <c r="F206" s="19" t="s">
        <v>368</v>
      </c>
      <c r="G206" s="19">
        <v>97981</v>
      </c>
      <c r="H206" s="19">
        <v>42442</v>
      </c>
      <c r="I206" s="19">
        <v>5</v>
      </c>
      <c r="J206" s="19" t="s">
        <v>181</v>
      </c>
      <c r="K206" s="19" t="s">
        <v>234</v>
      </c>
      <c r="L206" s="19">
        <v>1062</v>
      </c>
    </row>
    <row r="207" spans="1:12" x14ac:dyDescent="0.35">
      <c r="A207" s="19" t="s">
        <v>79</v>
      </c>
      <c r="B207" s="19" t="s">
        <v>159</v>
      </c>
      <c r="C207" s="19" t="s">
        <v>336</v>
      </c>
      <c r="D207" s="19" t="s">
        <v>345</v>
      </c>
      <c r="E207" s="19">
        <v>69952</v>
      </c>
      <c r="F207" s="19" t="s">
        <v>369</v>
      </c>
      <c r="G207" s="19">
        <v>69952</v>
      </c>
      <c r="H207" s="19">
        <v>42498</v>
      </c>
      <c r="I207" s="19">
        <v>5</v>
      </c>
      <c r="J207" s="19" t="s">
        <v>181</v>
      </c>
      <c r="K207" s="19" t="s">
        <v>182</v>
      </c>
      <c r="L207" s="19">
        <v>1070</v>
      </c>
    </row>
    <row r="208" spans="1:12" x14ac:dyDescent="0.35">
      <c r="A208" s="19" t="s">
        <v>94</v>
      </c>
      <c r="B208" s="19" t="s">
        <v>164</v>
      </c>
      <c r="C208" s="19" t="s">
        <v>335</v>
      </c>
      <c r="D208" s="19" t="s">
        <v>340</v>
      </c>
      <c r="E208" s="19">
        <v>35163</v>
      </c>
      <c r="F208" s="19" t="s">
        <v>370</v>
      </c>
      <c r="G208" s="19">
        <v>35163</v>
      </c>
      <c r="H208" s="19">
        <v>42603</v>
      </c>
      <c r="I208" s="19">
        <v>5</v>
      </c>
      <c r="J208" s="19" t="s">
        <v>179</v>
      </c>
      <c r="K208" s="19" t="s">
        <v>249</v>
      </c>
      <c r="L208" s="19">
        <v>1085</v>
      </c>
    </row>
    <row r="209" spans="1:12" x14ac:dyDescent="0.35">
      <c r="A209" s="19" t="s">
        <v>101</v>
      </c>
      <c r="B209" s="19" t="s">
        <v>162</v>
      </c>
      <c r="C209" s="19" t="s">
        <v>169</v>
      </c>
      <c r="D209" s="19" t="s">
        <v>340</v>
      </c>
      <c r="E209" s="19">
        <v>80588</v>
      </c>
      <c r="F209" s="19" t="s">
        <v>371</v>
      </c>
      <c r="G209" s="19">
        <v>80588</v>
      </c>
      <c r="H209" s="19">
        <v>42652</v>
      </c>
      <c r="I209" s="19">
        <v>5</v>
      </c>
      <c r="J209" s="19" t="s">
        <v>180</v>
      </c>
      <c r="K209" s="19" t="s">
        <v>216</v>
      </c>
      <c r="L209" s="19">
        <v>1092</v>
      </c>
    </row>
    <row r="210" spans="1:12" x14ac:dyDescent="0.35">
      <c r="A210" s="19" t="s">
        <v>112</v>
      </c>
      <c r="B210" s="19" t="s">
        <v>160</v>
      </c>
      <c r="C210" s="19" t="s">
        <v>337</v>
      </c>
      <c r="D210" s="19" t="s">
        <v>340</v>
      </c>
      <c r="E210" s="19">
        <v>79145</v>
      </c>
      <c r="F210" s="19" t="s">
        <v>372</v>
      </c>
      <c r="G210" s="19">
        <v>79145</v>
      </c>
      <c r="H210" s="19">
        <v>42729</v>
      </c>
      <c r="I210" s="19">
        <v>5</v>
      </c>
      <c r="J210" s="19" t="s">
        <v>179</v>
      </c>
      <c r="K210" s="19" t="s">
        <v>223</v>
      </c>
      <c r="L210" s="19">
        <v>1103</v>
      </c>
    </row>
    <row r="211" spans="1:12" x14ac:dyDescent="0.35">
      <c r="A211" s="19" t="s">
        <v>120</v>
      </c>
      <c r="B211" s="19" t="s">
        <v>164</v>
      </c>
      <c r="C211" s="19" t="s">
        <v>169</v>
      </c>
      <c r="D211" s="19" t="s">
        <v>342</v>
      </c>
      <c r="E211" s="19">
        <v>34306</v>
      </c>
      <c r="F211" s="19" t="s">
        <v>374</v>
      </c>
      <c r="G211" s="19">
        <v>34306</v>
      </c>
      <c r="H211" s="19">
        <v>42785</v>
      </c>
      <c r="I211" s="19">
        <v>5</v>
      </c>
      <c r="J211" s="19" t="s">
        <v>181</v>
      </c>
      <c r="K211" s="19" t="s">
        <v>239</v>
      </c>
      <c r="L211" s="19">
        <v>1111</v>
      </c>
    </row>
    <row r="212" spans="1:12" x14ac:dyDescent="0.35">
      <c r="A212" s="19" t="s">
        <v>125</v>
      </c>
      <c r="B212" s="19" t="s">
        <v>165</v>
      </c>
      <c r="C212" s="19" t="s">
        <v>337</v>
      </c>
      <c r="D212" s="19" t="s">
        <v>345</v>
      </c>
      <c r="E212" s="19">
        <v>38837</v>
      </c>
      <c r="F212" s="19" t="s">
        <v>375</v>
      </c>
      <c r="G212" s="19">
        <v>38837</v>
      </c>
      <c r="H212" s="19">
        <v>42820</v>
      </c>
      <c r="I212" s="19">
        <v>5</v>
      </c>
      <c r="J212" s="19" t="s">
        <v>181</v>
      </c>
      <c r="K212" s="19" t="s">
        <v>239</v>
      </c>
      <c r="L212" s="19">
        <v>1116</v>
      </c>
    </row>
    <row r="213" spans="1:12" x14ac:dyDescent="0.35">
      <c r="A213" s="19" t="s">
        <v>129</v>
      </c>
      <c r="B213" s="19" t="s">
        <v>178</v>
      </c>
      <c r="C213" s="19" t="s">
        <v>169</v>
      </c>
      <c r="D213" s="19" t="s">
        <v>342</v>
      </c>
      <c r="E213" s="19" t="s">
        <v>177</v>
      </c>
      <c r="F213" s="19" t="s">
        <v>354</v>
      </c>
      <c r="G213" s="19">
        <v>66158</v>
      </c>
      <c r="H213" s="19" t="s">
        <v>178</v>
      </c>
      <c r="I213" s="19">
        <v>5</v>
      </c>
      <c r="J213" s="19" t="s">
        <v>178</v>
      </c>
      <c r="K213" s="19" t="s">
        <v>268</v>
      </c>
      <c r="L213" s="19">
        <v>1120</v>
      </c>
    </row>
    <row r="214" spans="1:12" x14ac:dyDescent="0.35">
      <c r="A214" s="19" t="s">
        <v>132</v>
      </c>
      <c r="B214" s="19" t="s">
        <v>162</v>
      </c>
      <c r="C214" s="19" t="s">
        <v>338</v>
      </c>
      <c r="D214" s="19" t="s">
        <v>341</v>
      </c>
      <c r="E214" s="19">
        <v>30357</v>
      </c>
      <c r="F214" s="19" t="s">
        <v>376</v>
      </c>
      <c r="G214" s="19">
        <v>30357</v>
      </c>
      <c r="H214" s="19">
        <v>42869</v>
      </c>
      <c r="I214" s="19">
        <v>5</v>
      </c>
      <c r="J214" s="19" t="s">
        <v>180</v>
      </c>
      <c r="K214" s="19" t="s">
        <v>248</v>
      </c>
      <c r="L214" s="19">
        <v>1123</v>
      </c>
    </row>
    <row r="215" spans="1:12" x14ac:dyDescent="0.35">
      <c r="A215" s="19" t="s">
        <v>134</v>
      </c>
      <c r="B215" s="19" t="s">
        <v>161</v>
      </c>
      <c r="C215" s="19" t="s">
        <v>335</v>
      </c>
      <c r="D215" s="19" t="s">
        <v>340</v>
      </c>
      <c r="E215" s="19">
        <v>90019</v>
      </c>
      <c r="F215" s="19" t="s">
        <v>377</v>
      </c>
      <c r="G215" s="19">
        <v>90019</v>
      </c>
      <c r="H215" s="19">
        <v>42883</v>
      </c>
      <c r="I215" s="19">
        <v>5</v>
      </c>
      <c r="J215" s="19" t="s">
        <v>178</v>
      </c>
      <c r="K215" s="19" t="s">
        <v>272</v>
      </c>
      <c r="L215" s="19">
        <v>1125</v>
      </c>
    </row>
    <row r="216" spans="1:12" x14ac:dyDescent="0.35">
      <c r="A216" s="19" t="s">
        <v>150</v>
      </c>
      <c r="B216" s="19" t="s">
        <v>162</v>
      </c>
      <c r="C216" s="19" t="s">
        <v>337</v>
      </c>
      <c r="D216" s="19" t="s">
        <v>342</v>
      </c>
      <c r="E216" s="19">
        <v>66882</v>
      </c>
      <c r="F216" s="19" t="s">
        <v>379</v>
      </c>
      <c r="G216" s="19">
        <v>66882</v>
      </c>
      <c r="H216" s="19">
        <v>42995</v>
      </c>
      <c r="I216" s="19">
        <v>5</v>
      </c>
      <c r="J216" s="19" t="s">
        <v>179</v>
      </c>
      <c r="K216" s="19" t="s">
        <v>207</v>
      </c>
      <c r="L216" s="19">
        <v>1141</v>
      </c>
    </row>
    <row r="217" spans="1:12" x14ac:dyDescent="0.35">
      <c r="A217" s="19" t="s">
        <v>154</v>
      </c>
      <c r="B217" s="19" t="s">
        <v>163</v>
      </c>
      <c r="C217" s="19" t="s">
        <v>336</v>
      </c>
      <c r="D217" s="19" t="s">
        <v>345</v>
      </c>
      <c r="E217" s="19">
        <v>35627</v>
      </c>
      <c r="F217" s="19" t="s">
        <v>380</v>
      </c>
      <c r="G217" s="19">
        <v>35627</v>
      </c>
      <c r="H217" s="19">
        <v>43023</v>
      </c>
      <c r="I217" s="19">
        <v>5</v>
      </c>
      <c r="J217" s="19" t="s">
        <v>181</v>
      </c>
      <c r="K217" s="19" t="s">
        <v>275</v>
      </c>
      <c r="L217" s="19">
        <v>1145</v>
      </c>
    </row>
    <row r="218" spans="1:12" x14ac:dyDescent="0.35">
      <c r="A218" s="19" t="s">
        <v>158</v>
      </c>
      <c r="B218" s="19" t="s">
        <v>163</v>
      </c>
      <c r="C218" s="19" t="s">
        <v>337</v>
      </c>
      <c r="D218" s="19" t="s">
        <v>343</v>
      </c>
      <c r="E218" s="19">
        <v>98475</v>
      </c>
      <c r="F218" s="19" t="s">
        <v>381</v>
      </c>
      <c r="G218" s="19">
        <v>98475</v>
      </c>
      <c r="H218" s="19">
        <v>43051</v>
      </c>
      <c r="I218" s="19">
        <v>5</v>
      </c>
      <c r="J218" s="19" t="s">
        <v>179</v>
      </c>
      <c r="K218" s="19" t="s">
        <v>280</v>
      </c>
      <c r="L218" s="19">
        <v>1149</v>
      </c>
    </row>
    <row r="220" spans="1:12" x14ac:dyDescent="0.35">
      <c r="A220" s="30" t="s">
        <v>384</v>
      </c>
      <c r="B220" s="70" t="s">
        <v>398</v>
      </c>
      <c r="C220" s="70"/>
      <c r="D220" s="70"/>
      <c r="E220" s="70"/>
      <c r="F220" s="70"/>
      <c r="G220" s="70"/>
      <c r="H220" s="70"/>
      <c r="I220" s="70"/>
      <c r="J220" s="70"/>
      <c r="K220" s="70"/>
      <c r="L220" s="70"/>
    </row>
    <row r="221" spans="1:12" ht="37" x14ac:dyDescent="0.35">
      <c r="A221" s="9" t="s">
        <v>0</v>
      </c>
      <c r="B221" s="9" t="s">
        <v>402</v>
      </c>
      <c r="C221" s="10" t="s">
        <v>403</v>
      </c>
      <c r="D221" s="9" t="s">
        <v>310</v>
      </c>
      <c r="E221" s="9" t="s">
        <v>4</v>
      </c>
      <c r="F221" s="10" t="s">
        <v>304</v>
      </c>
      <c r="G221" s="24" t="s">
        <v>305</v>
      </c>
      <c r="H221" s="9" t="s">
        <v>404</v>
      </c>
      <c r="I221" s="10" t="s">
        <v>6</v>
      </c>
      <c r="J221" s="10" t="s">
        <v>309</v>
      </c>
      <c r="K221" s="9" t="s">
        <v>8</v>
      </c>
      <c r="L221" s="9" t="s">
        <v>392</v>
      </c>
    </row>
    <row r="222" spans="1:12" x14ac:dyDescent="0.35">
      <c r="A222" s="19" t="s">
        <v>59</v>
      </c>
      <c r="B222" s="19" t="s">
        <v>164</v>
      </c>
      <c r="C222" s="19" t="s">
        <v>338</v>
      </c>
      <c r="D222" s="19" t="s">
        <v>340</v>
      </c>
      <c r="E222" s="19">
        <v>30686</v>
      </c>
      <c r="F222" s="22" t="s">
        <v>362</v>
      </c>
      <c r="G222" s="19">
        <v>30686</v>
      </c>
      <c r="H222" s="20" t="s">
        <v>178</v>
      </c>
      <c r="I222" s="19">
        <v>2</v>
      </c>
      <c r="J222" s="19" t="s">
        <v>181</v>
      </c>
      <c r="K222" s="19" t="s">
        <v>226</v>
      </c>
      <c r="L222" s="19">
        <v>1050</v>
      </c>
    </row>
    <row r="223" spans="1:12" x14ac:dyDescent="0.35">
      <c r="A223" s="19" t="s">
        <v>61</v>
      </c>
      <c r="B223" s="19" t="s">
        <v>159</v>
      </c>
      <c r="C223" s="19" t="s">
        <v>337</v>
      </c>
      <c r="D223" s="19" t="s">
        <v>340</v>
      </c>
      <c r="E223" s="19">
        <v>30280</v>
      </c>
      <c r="F223" s="22" t="s">
        <v>364</v>
      </c>
      <c r="G223" s="19">
        <v>30280</v>
      </c>
      <c r="H223" s="20">
        <v>42372</v>
      </c>
      <c r="I223" s="19">
        <v>1</v>
      </c>
      <c r="J223" s="19" t="s">
        <v>178</v>
      </c>
      <c r="K223" s="19" t="s">
        <v>228</v>
      </c>
      <c r="L223" s="19">
        <v>1052</v>
      </c>
    </row>
    <row r="224" spans="1:12" x14ac:dyDescent="0.35">
      <c r="A224" s="19" t="s">
        <v>119</v>
      </c>
      <c r="B224" s="19" t="s">
        <v>164</v>
      </c>
      <c r="C224" s="19" t="s">
        <v>336</v>
      </c>
      <c r="D224" s="19" t="s">
        <v>343</v>
      </c>
      <c r="E224" s="19">
        <v>31293</v>
      </c>
      <c r="F224" s="22" t="s">
        <v>373</v>
      </c>
      <c r="G224" s="19">
        <v>31293</v>
      </c>
      <c r="H224" s="20" t="s">
        <v>178</v>
      </c>
      <c r="I224" s="19">
        <v>2</v>
      </c>
      <c r="J224" s="19" t="s">
        <v>181</v>
      </c>
      <c r="K224" s="19" t="s">
        <v>264</v>
      </c>
      <c r="L224" s="19">
        <v>1110</v>
      </c>
    </row>
    <row r="225" spans="1:13" x14ac:dyDescent="0.35">
      <c r="A225" s="19" t="s">
        <v>132</v>
      </c>
      <c r="B225" s="19" t="s">
        <v>162</v>
      </c>
      <c r="C225" s="19" t="s">
        <v>338</v>
      </c>
      <c r="D225" s="19" t="s">
        <v>341</v>
      </c>
      <c r="E225" s="19">
        <v>30357</v>
      </c>
      <c r="F225" s="22" t="s">
        <v>376</v>
      </c>
      <c r="G225" s="19">
        <v>30357</v>
      </c>
      <c r="H225" s="20">
        <v>42869</v>
      </c>
      <c r="I225" s="19">
        <v>5</v>
      </c>
      <c r="J225" s="19" t="s">
        <v>180</v>
      </c>
      <c r="K225" s="19" t="s">
        <v>248</v>
      </c>
      <c r="L225" s="19">
        <v>1123</v>
      </c>
    </row>
    <row r="226" spans="1:13" x14ac:dyDescent="0.35">
      <c r="A226" s="19" t="s">
        <v>137</v>
      </c>
      <c r="B226" s="19" t="s">
        <v>164</v>
      </c>
      <c r="C226" s="19" t="s">
        <v>336</v>
      </c>
      <c r="D226" s="19" t="s">
        <v>342</v>
      </c>
      <c r="E226" s="19">
        <v>30402</v>
      </c>
      <c r="F226" s="22" t="s">
        <v>378</v>
      </c>
      <c r="G226" s="19">
        <v>30402</v>
      </c>
      <c r="H226" s="20">
        <v>42904</v>
      </c>
      <c r="I226" s="19">
        <v>1</v>
      </c>
      <c r="J226" s="19" t="s">
        <v>178</v>
      </c>
      <c r="K226" s="19" t="s">
        <v>274</v>
      </c>
      <c r="L226" s="19">
        <v>1128</v>
      </c>
    </row>
    <row r="228" spans="1:13" x14ac:dyDescent="0.35">
      <c r="A228" s="33" t="s">
        <v>385</v>
      </c>
      <c r="B228" s="30" t="s">
        <v>406</v>
      </c>
    </row>
    <row r="229" spans="1:13" ht="43.5" x14ac:dyDescent="0.35">
      <c r="B229" s="18" t="s">
        <v>399</v>
      </c>
    </row>
    <row r="231" spans="1:13" x14ac:dyDescent="0.35">
      <c r="A231" s="30" t="s">
        <v>386</v>
      </c>
      <c r="B231" s="70" t="s">
        <v>407</v>
      </c>
      <c r="C231" s="70"/>
    </row>
    <row r="232" spans="1:13" ht="37" x14ac:dyDescent="0.35">
      <c r="A232" s="9" t="s">
        <v>0</v>
      </c>
      <c r="B232" s="9" t="s">
        <v>402</v>
      </c>
      <c r="C232" s="10" t="s">
        <v>403</v>
      </c>
      <c r="D232" s="9" t="s">
        <v>310</v>
      </c>
      <c r="E232" s="9" t="s">
        <v>4</v>
      </c>
      <c r="F232" s="10" t="s">
        <v>304</v>
      </c>
      <c r="G232" s="10" t="s">
        <v>305</v>
      </c>
      <c r="H232" s="9" t="s">
        <v>404</v>
      </c>
      <c r="I232" s="10" t="s">
        <v>6</v>
      </c>
      <c r="J232" s="10" t="s">
        <v>309</v>
      </c>
      <c r="K232" s="16" t="s">
        <v>8</v>
      </c>
      <c r="L232" s="9" t="s">
        <v>392</v>
      </c>
      <c r="M232" s="29" t="s">
        <v>401</v>
      </c>
    </row>
    <row r="233" spans="1:13" x14ac:dyDescent="0.35">
      <c r="A233" s="19" t="s">
        <v>9</v>
      </c>
      <c r="B233" s="19" t="str" cm="1">
        <f t="array" ref="B233:B278">VLOOKUP(A233:A278,$A$3:$M$151,2)</f>
        <v>Unknown</v>
      </c>
      <c r="C233" s="19" t="str" cm="1">
        <f t="array" ref="C233:C278">VLOOKUP($A$233:$A$278,$A$3:$M$151,3)</f>
        <v>FINANCE</v>
      </c>
      <c r="D233" s="19" t="str" cm="1">
        <f t="array" ref="D233:D278">VLOOKUP($A$233:$A$278,$A$3:$M$151,4)</f>
        <v>unknown</v>
      </c>
      <c r="E233" s="19" t="str" cm="1">
        <f t="array" ref="E233:E278">VLOOKUP($A$233:$A$278,$A$3:$M$151,5)</f>
        <v>N/A</v>
      </c>
      <c r="F233" s="19" t="str" cm="1">
        <f t="array" ref="F233:F278">VLOOKUP($A$233:$A$278,$A$3:$M$151,6)</f>
        <v>0</v>
      </c>
      <c r="G233" s="19" cm="1">
        <f t="array" ref="G233:G278">VLOOKUP($A$233:$A$278,$A$3:$M$151,7)</f>
        <v>65605</v>
      </c>
      <c r="H233" s="20" t="str" cm="1">
        <f t="array" ref="H233:H278">VLOOKUP($A$233:$A$278,$A$3:$M$151,8)</f>
        <v>Unknown</v>
      </c>
      <c r="I233" s="19" cm="1">
        <f t="array" ref="I233:I278">VLOOKUP($A$233:$A$278,$A$3:$M$151,9)</f>
        <v>2</v>
      </c>
      <c r="J233" s="19" t="str" cm="1">
        <f t="array" ref="J233:J278">VLOOKUP($A$233:$A$278,$A$3:$M$151,10)</f>
        <v>Unknown</v>
      </c>
      <c r="K233" s="19" t="str" cm="1">
        <f t="array" ref="K233:K278">VLOOKUP($A$233:$A$278,$A$3:$M$151,11)</f>
        <v>invalid_email</v>
      </c>
      <c r="L233" s="19" cm="1">
        <f t="array" ref="L233:L278">VLOOKUP($A$233:$A$278,$A$3:$M$151,12)</f>
        <v>1000</v>
      </c>
      <c r="M233" s="19" cm="1">
        <f t="array" aca="1" ref="M233:M278" ca="1">VLOOKUP($A$233:$A$278,$A$3:$M$151,13)</f>
        <v>0</v>
      </c>
    </row>
    <row r="234" spans="1:13" x14ac:dyDescent="0.35">
      <c r="A234" s="19" t="s">
        <v>10</v>
      </c>
      <c r="B234" s="19" t="str">
        <v>Eve Adams</v>
      </c>
      <c r="C234" s="19" t="str">
        <v>HR</v>
      </c>
      <c r="D234" s="19" t="str">
        <v>germany</v>
      </c>
      <c r="E234" s="19">
        <v>54255</v>
      </c>
      <c r="F234" s="19" t="str">
        <v>54255</v>
      </c>
      <c r="G234" s="19">
        <v>54255</v>
      </c>
      <c r="H234" s="20">
        <v>42015</v>
      </c>
      <c r="I234" s="19">
        <v>1</v>
      </c>
      <c r="J234" s="19" t="str">
        <v>Other</v>
      </c>
      <c r="K234" s="19" t="str">
        <v>user106@example.com</v>
      </c>
      <c r="L234" s="19">
        <v>1001</v>
      </c>
      <c r="M234" s="19">
        <f ca="1"/>
        <v>13</v>
      </c>
    </row>
    <row r="235" spans="1:13" x14ac:dyDescent="0.35">
      <c r="A235" s="19" t="s">
        <v>11</v>
      </c>
      <c r="B235" s="19" t="str">
        <v>Alice Brown</v>
      </c>
      <c r="C235" s="19" t="str">
        <v>FINANCE</v>
      </c>
      <c r="D235" s="19" t="str">
        <v>germany</v>
      </c>
      <c r="E235" s="19">
        <v>63184</v>
      </c>
      <c r="F235" s="19" t="str">
        <v>63184</v>
      </c>
      <c r="G235" s="19">
        <v>63184</v>
      </c>
      <c r="H235" s="20">
        <v>42022</v>
      </c>
      <c r="I235" s="19">
        <v>2</v>
      </c>
      <c r="J235" s="19" t="str">
        <v>Unknown</v>
      </c>
      <c r="K235" s="19" t="str">
        <v>user176@example.com</v>
      </c>
      <c r="L235" s="19">
        <v>1002</v>
      </c>
      <c r="M235" s="19">
        <f ca="1"/>
        <v>6</v>
      </c>
    </row>
    <row r="236" spans="1:13" x14ac:dyDescent="0.35">
      <c r="A236" s="19" t="s">
        <v>13</v>
      </c>
      <c r="B236" s="19" t="str">
        <v>Jane Smith</v>
      </c>
      <c r="C236" s="19" t="str">
        <v>SALES</v>
      </c>
      <c r="D236" s="19" t="str">
        <v>germany</v>
      </c>
      <c r="E236" s="19">
        <v>64120</v>
      </c>
      <c r="F236" s="19" t="str">
        <v>64120</v>
      </c>
      <c r="G236" s="19">
        <v>64120</v>
      </c>
      <c r="H236" s="20">
        <v>42036</v>
      </c>
      <c r="I236" s="19">
        <v>1</v>
      </c>
      <c r="J236" s="19" t="str">
        <v>Male</v>
      </c>
      <c r="K236" s="19" t="str">
        <v>user49@example.com</v>
      </c>
      <c r="L236" s="19">
        <v>1004</v>
      </c>
      <c r="M236" s="19">
        <f ca="1"/>
        <v>23</v>
      </c>
    </row>
    <row r="237" spans="1:13" x14ac:dyDescent="0.35">
      <c r="A237" s="19" t="s">
        <v>15</v>
      </c>
      <c r="B237" s="19" t="str">
        <v>Sam Wilson</v>
      </c>
      <c r="C237" s="19" t="str">
        <v>SALES</v>
      </c>
      <c r="D237" s="19" t="str">
        <v>unknown</v>
      </c>
      <c r="E237" s="19">
        <v>67721</v>
      </c>
      <c r="F237" s="19" t="str">
        <v>67721</v>
      </c>
      <c r="G237" s="19">
        <v>67721</v>
      </c>
      <c r="H237" s="20">
        <v>42050</v>
      </c>
      <c r="I237" s="19">
        <v>3</v>
      </c>
      <c r="J237" s="19" t="str">
        <v>Male</v>
      </c>
      <c r="K237" s="19" t="str">
        <v>user168@example.com</v>
      </c>
      <c r="L237" s="19">
        <v>1006</v>
      </c>
      <c r="M237" s="19">
        <f ca="1"/>
        <v>9</v>
      </c>
    </row>
    <row r="238" spans="1:13" x14ac:dyDescent="0.35">
      <c r="A238" s="19" t="s">
        <v>19</v>
      </c>
      <c r="B238" s="19" t="str">
        <v>Sam Wilson</v>
      </c>
      <c r="C238" s="19" t="str">
        <v>FINANCE</v>
      </c>
      <c r="D238" s="19" t="str">
        <v>uk</v>
      </c>
      <c r="E238" s="19">
        <v>64247</v>
      </c>
      <c r="F238" s="19" t="str">
        <v>64247</v>
      </c>
      <c r="G238" s="19">
        <v>64247</v>
      </c>
      <c r="H238" s="20">
        <v>42078</v>
      </c>
      <c r="I238" s="19">
        <v>1</v>
      </c>
      <c r="J238" s="19" t="str">
        <v>Female</v>
      </c>
      <c r="K238" s="19" t="str">
        <v>user18@example.com</v>
      </c>
      <c r="L238" s="19">
        <v>1010</v>
      </c>
      <c r="M238" s="19">
        <f ca="1"/>
        <v>9</v>
      </c>
    </row>
    <row r="239" spans="1:13" x14ac:dyDescent="0.35">
      <c r="A239" s="19" t="s">
        <v>22</v>
      </c>
      <c r="B239" s="19" t="str">
        <v>Sam Wilson</v>
      </c>
      <c r="C239" s="19" t="str">
        <v>UNKNOWN</v>
      </c>
      <c r="D239" s="19" t="str">
        <v>india</v>
      </c>
      <c r="E239" s="19">
        <v>62158</v>
      </c>
      <c r="F239" s="19" t="str">
        <v>62158</v>
      </c>
      <c r="G239" s="19">
        <v>62158</v>
      </c>
      <c r="H239" s="20">
        <v>42099</v>
      </c>
      <c r="I239" s="19">
        <v>4</v>
      </c>
      <c r="J239" s="19" t="str">
        <v>Unknown</v>
      </c>
      <c r="K239" s="19" t="str">
        <v>user180@example.com</v>
      </c>
      <c r="L239" s="19">
        <v>1013</v>
      </c>
      <c r="M239" s="19">
        <f ca="1"/>
        <v>19</v>
      </c>
    </row>
    <row r="240" spans="1:13" x14ac:dyDescent="0.35">
      <c r="A240" s="19" t="s">
        <v>23</v>
      </c>
      <c r="B240" s="19" t="str">
        <v>Jane Smith</v>
      </c>
      <c r="C240" s="19" t="str">
        <v>HR</v>
      </c>
      <c r="D240" s="19" t="str">
        <v>unknown</v>
      </c>
      <c r="E240" s="19">
        <v>59894</v>
      </c>
      <c r="F240" s="19" t="str">
        <v>59894</v>
      </c>
      <c r="G240" s="19">
        <v>59894</v>
      </c>
      <c r="H240" s="20">
        <v>42106</v>
      </c>
      <c r="I240" s="19">
        <v>2</v>
      </c>
      <c r="J240" s="19" t="str">
        <v>Male</v>
      </c>
      <c r="K240" s="19" t="str">
        <v>user184@example.com</v>
      </c>
      <c r="L240" s="19">
        <v>1014</v>
      </c>
      <c r="M240" s="19">
        <f ca="1"/>
        <v>12</v>
      </c>
    </row>
    <row r="241" spans="1:13" x14ac:dyDescent="0.35">
      <c r="A241" s="19" t="s">
        <v>28</v>
      </c>
      <c r="B241" s="19" t="str">
        <v>Eve Adams</v>
      </c>
      <c r="C241" s="19" t="str">
        <v>UNKNOWN</v>
      </c>
      <c r="D241" s="19" t="str">
        <v>india</v>
      </c>
      <c r="E241" s="19">
        <v>67531</v>
      </c>
      <c r="F241" s="19" t="str">
        <v>67531</v>
      </c>
      <c r="G241" s="19">
        <v>67531</v>
      </c>
      <c r="H241" s="20">
        <v>42141</v>
      </c>
      <c r="I241" s="19">
        <v>5</v>
      </c>
      <c r="J241" s="19" t="str">
        <v>Female</v>
      </c>
      <c r="K241" s="19" t="str">
        <v>user151@example.com</v>
      </c>
      <c r="L241" s="19">
        <v>1019</v>
      </c>
      <c r="M241" s="19">
        <f ca="1"/>
        <v>7</v>
      </c>
    </row>
    <row r="242" spans="1:13" x14ac:dyDescent="0.35">
      <c r="A242" s="19" t="s">
        <v>29</v>
      </c>
      <c r="B242" s="19" t="str">
        <v>Jane Smith</v>
      </c>
      <c r="C242" s="19" t="str">
        <v>HR</v>
      </c>
      <c r="D242" s="19" t="str">
        <v>usa</v>
      </c>
      <c r="E242" s="19" t="str">
        <v>N/A</v>
      </c>
      <c r="F242" s="19" t="str">
        <v>0</v>
      </c>
      <c r="G242" s="19">
        <v>67835</v>
      </c>
      <c r="H242" s="20">
        <v>42148</v>
      </c>
      <c r="I242" s="19">
        <v>2</v>
      </c>
      <c r="J242" s="19" t="str">
        <v>Other</v>
      </c>
      <c r="K242" s="19" t="str">
        <v>user200@example.com</v>
      </c>
      <c r="L242" s="19">
        <v>1020</v>
      </c>
      <c r="M242" s="19">
        <f ca="1"/>
        <v>0</v>
      </c>
    </row>
    <row r="243" spans="1:13" x14ac:dyDescent="0.35">
      <c r="A243" s="19" t="s">
        <v>34</v>
      </c>
      <c r="B243" s="19" t="str">
        <v>Chris Lee</v>
      </c>
      <c r="C243" s="19" t="str">
        <v>UNKNOWN</v>
      </c>
      <c r="D243" s="19" t="str">
        <v>unknown</v>
      </c>
      <c r="E243" s="19">
        <v>52272</v>
      </c>
      <c r="F243" s="19" t="str">
        <v>52272</v>
      </c>
      <c r="G243" s="19">
        <v>52272</v>
      </c>
      <c r="H243" s="20">
        <v>42183</v>
      </c>
      <c r="I243" s="19">
        <v>3</v>
      </c>
      <c r="J243" s="19" t="str">
        <v>Unknown</v>
      </c>
      <c r="K243" s="19" t="str">
        <v>user41@example.com</v>
      </c>
      <c r="L243" s="19">
        <v>1025</v>
      </c>
      <c r="M243" s="19">
        <f ca="1"/>
        <v>27</v>
      </c>
    </row>
    <row r="244" spans="1:13" x14ac:dyDescent="0.35">
      <c r="A244" s="19" t="s">
        <v>44</v>
      </c>
      <c r="B244" s="19" t="str">
        <v>Alice Brown</v>
      </c>
      <c r="C244" s="19" t="str">
        <v>UNKNOWN</v>
      </c>
      <c r="D244" s="19" t="str">
        <v>uk</v>
      </c>
      <c r="E244" s="19">
        <v>54463</v>
      </c>
      <c r="F244" s="19" t="str">
        <v>54463</v>
      </c>
      <c r="G244" s="19">
        <v>54463</v>
      </c>
      <c r="H244" s="20">
        <v>42253</v>
      </c>
      <c r="I244" s="19">
        <v>4</v>
      </c>
      <c r="J244" s="19" t="str">
        <v>Male</v>
      </c>
      <c r="K244" s="19" t="str">
        <v>invalid_email</v>
      </c>
      <c r="L244" s="19">
        <v>1035</v>
      </c>
      <c r="M244" s="19">
        <f ca="1"/>
        <v>18</v>
      </c>
    </row>
    <row r="245" spans="1:13" x14ac:dyDescent="0.35">
      <c r="A245" s="19" t="s">
        <v>46</v>
      </c>
      <c r="B245" s="19" t="str">
        <v>Alice Brown</v>
      </c>
      <c r="C245" s="19" t="str">
        <v>HR</v>
      </c>
      <c r="D245" s="19" t="str">
        <v>unknown</v>
      </c>
      <c r="E245" s="19">
        <v>64796</v>
      </c>
      <c r="F245" s="19" t="str">
        <v>64796</v>
      </c>
      <c r="G245" s="19">
        <v>64796</v>
      </c>
      <c r="H245" s="20">
        <v>42267</v>
      </c>
      <c r="I245" s="19">
        <v>3</v>
      </c>
      <c r="J245" s="19" t="str">
        <v>Other</v>
      </c>
      <c r="K245" s="19" t="str">
        <v>user98@example.com</v>
      </c>
      <c r="L245" s="19">
        <v>1037</v>
      </c>
      <c r="M245" s="19">
        <f ca="1"/>
        <v>4</v>
      </c>
    </row>
    <row r="246" spans="1:13" x14ac:dyDescent="0.35">
      <c r="A246" s="19" t="s">
        <v>47</v>
      </c>
      <c r="B246" s="19" t="str">
        <v>John Doe</v>
      </c>
      <c r="C246" s="19" t="str">
        <v>MARKETING</v>
      </c>
      <c r="D246" s="19" t="str">
        <v>uk</v>
      </c>
      <c r="E246" s="19">
        <v>52093</v>
      </c>
      <c r="F246" s="19" t="str">
        <v>52093</v>
      </c>
      <c r="G246" s="19">
        <v>52093</v>
      </c>
      <c r="H246" s="20">
        <v>42274</v>
      </c>
      <c r="I246" s="19">
        <v>5</v>
      </c>
      <c r="J246" s="19" t="str">
        <v>Unknown</v>
      </c>
      <c r="K246" s="19" t="str">
        <v>user154@example.com</v>
      </c>
      <c r="L246" s="19">
        <v>1038</v>
      </c>
      <c r="M246" s="19">
        <f ca="1"/>
        <v>28</v>
      </c>
    </row>
    <row r="247" spans="1:13" x14ac:dyDescent="0.35">
      <c r="A247" s="19" t="s">
        <v>49</v>
      </c>
      <c r="B247" s="19" t="str">
        <v>Bob Johnson</v>
      </c>
      <c r="C247" s="19" t="str">
        <v>FINANCE</v>
      </c>
      <c r="D247" s="19" t="str">
        <v>uk</v>
      </c>
      <c r="E247" s="19" t="str">
        <v>N/A</v>
      </c>
      <c r="F247" s="19" t="str">
        <v>0</v>
      </c>
      <c r="G247" s="19">
        <v>65605</v>
      </c>
      <c r="H247" s="20" t="str">
        <v>Unknown</v>
      </c>
      <c r="I247" s="19">
        <v>4</v>
      </c>
      <c r="J247" s="19" t="str">
        <v>Female</v>
      </c>
      <c r="K247" s="19" t="str">
        <v>user89@example.com</v>
      </c>
      <c r="L247" s="19">
        <v>1040</v>
      </c>
      <c r="M247" s="19">
        <f ca="1"/>
        <v>0</v>
      </c>
    </row>
    <row r="248" spans="1:13" x14ac:dyDescent="0.35">
      <c r="A248" s="19" t="s">
        <v>51</v>
      </c>
      <c r="B248" s="19" t="str">
        <v>Bob Johnson</v>
      </c>
      <c r="C248" s="19" t="str">
        <v>UNKNOWN</v>
      </c>
      <c r="D248" s="19" t="str">
        <v>australia</v>
      </c>
      <c r="E248" s="19">
        <v>64913</v>
      </c>
      <c r="F248" s="19" t="str">
        <v>64913</v>
      </c>
      <c r="G248" s="19">
        <v>64913</v>
      </c>
      <c r="H248" s="20">
        <v>42302</v>
      </c>
      <c r="I248" s="19">
        <v>1</v>
      </c>
      <c r="J248" s="19" t="str">
        <v>Female</v>
      </c>
      <c r="K248" s="19" t="str">
        <v>user175@example.com</v>
      </c>
      <c r="L248" s="19">
        <v>1042</v>
      </c>
      <c r="M248" s="19">
        <f ca="1"/>
        <v>30</v>
      </c>
    </row>
    <row r="249" spans="1:13" x14ac:dyDescent="0.35">
      <c r="A249" s="19" t="s">
        <v>54</v>
      </c>
      <c r="B249" s="19" t="str">
        <v>Unknown</v>
      </c>
      <c r="C249" s="19" t="str">
        <v>HR</v>
      </c>
      <c r="D249" s="19" t="str">
        <v>unknown</v>
      </c>
      <c r="E249" s="19">
        <v>58962</v>
      </c>
      <c r="F249" s="19" t="str">
        <v>58962</v>
      </c>
      <c r="G249" s="19">
        <v>58962</v>
      </c>
      <c r="H249" s="20">
        <v>42323</v>
      </c>
      <c r="I249" s="19">
        <v>3</v>
      </c>
      <c r="J249" s="19" t="str">
        <v>Other</v>
      </c>
      <c r="K249" s="19" t="str">
        <v>user106@example.com</v>
      </c>
      <c r="L249" s="19">
        <v>1045</v>
      </c>
      <c r="M249" s="19">
        <f ca="1"/>
        <v>9</v>
      </c>
    </row>
    <row r="250" spans="1:13" x14ac:dyDescent="0.35">
      <c r="A250" s="19" t="s">
        <v>56</v>
      </c>
      <c r="B250" s="19" t="str">
        <v>Chris Lee</v>
      </c>
      <c r="C250" s="19" t="str">
        <v>HR</v>
      </c>
      <c r="D250" s="19" t="str">
        <v>india</v>
      </c>
      <c r="E250" s="19">
        <v>58245</v>
      </c>
      <c r="F250" s="19" t="str">
        <v>58245</v>
      </c>
      <c r="G250" s="19">
        <v>58245</v>
      </c>
      <c r="H250" s="20">
        <v>42337</v>
      </c>
      <c r="I250" s="19">
        <v>4</v>
      </c>
      <c r="J250" s="19" t="str">
        <v>Unknown</v>
      </c>
      <c r="K250" s="19" t="str">
        <v>user43@example.com</v>
      </c>
      <c r="L250" s="19">
        <v>1047</v>
      </c>
      <c r="M250" s="19">
        <f ca="1"/>
        <v>26</v>
      </c>
    </row>
    <row r="251" spans="1:13" x14ac:dyDescent="0.35">
      <c r="A251" s="19" t="s">
        <v>57</v>
      </c>
      <c r="B251" s="19" t="str">
        <v>John Doe</v>
      </c>
      <c r="C251" s="19" t="str">
        <v>FINANCE</v>
      </c>
      <c r="D251" s="19" t="str">
        <v>unknown</v>
      </c>
      <c r="E251" s="19">
        <v>66513</v>
      </c>
      <c r="F251" s="19" t="str">
        <v>66513</v>
      </c>
      <c r="G251" s="19">
        <v>66513</v>
      </c>
      <c r="H251" s="20">
        <v>42344</v>
      </c>
      <c r="I251" s="19">
        <v>2</v>
      </c>
      <c r="J251" s="19" t="str">
        <v>Other</v>
      </c>
      <c r="K251" s="19" t="str">
        <v>user24@example.com</v>
      </c>
      <c r="L251" s="19">
        <v>1048</v>
      </c>
      <c r="M251" s="19">
        <f ca="1"/>
        <v>18</v>
      </c>
    </row>
    <row r="252" spans="1:13" x14ac:dyDescent="0.35">
      <c r="A252" s="19" t="s">
        <v>65</v>
      </c>
      <c r="B252" s="19" t="str">
        <v>John Doe</v>
      </c>
      <c r="C252" s="19" t="str">
        <v>SALES</v>
      </c>
      <c r="D252" s="19" t="str">
        <v>australia</v>
      </c>
      <c r="E252" s="19">
        <v>60011</v>
      </c>
      <c r="F252" s="19" t="str">
        <v>60011</v>
      </c>
      <c r="G252" s="19">
        <v>60011</v>
      </c>
      <c r="H252" s="20">
        <v>42400</v>
      </c>
      <c r="I252" s="19">
        <v>1</v>
      </c>
      <c r="J252" s="19" t="str">
        <v>Male</v>
      </c>
      <c r="K252" s="19" t="str">
        <v>user63@example.com</v>
      </c>
      <c r="L252" s="19">
        <v>1056</v>
      </c>
      <c r="M252" s="19">
        <f ca="1"/>
        <v>24</v>
      </c>
    </row>
    <row r="253" spans="1:13" x14ac:dyDescent="0.35">
      <c r="A253" s="19" t="s">
        <v>69</v>
      </c>
      <c r="B253" s="19" t="str">
        <v>Unknown</v>
      </c>
      <c r="C253" s="19" t="str">
        <v>MARKETING</v>
      </c>
      <c r="D253" s="19" t="str">
        <v>germany</v>
      </c>
      <c r="E253" s="19" t="str">
        <v>N/A</v>
      </c>
      <c r="F253" s="19" t="str">
        <v>0</v>
      </c>
      <c r="G253" s="19">
        <v>63687</v>
      </c>
      <c r="H253" s="20" t="str">
        <v>Unknown</v>
      </c>
      <c r="I253" s="19">
        <v>5</v>
      </c>
      <c r="J253" s="19" t="str">
        <v>Unknown</v>
      </c>
      <c r="K253" s="19" t="str">
        <v>user112@example.com</v>
      </c>
      <c r="L253" s="19">
        <v>1060</v>
      </c>
      <c r="M253" s="19">
        <f ca="1"/>
        <v>0</v>
      </c>
    </row>
    <row r="254" spans="1:13" x14ac:dyDescent="0.35">
      <c r="A254" s="19" t="s">
        <v>76</v>
      </c>
      <c r="B254" s="19" t="str">
        <v>Alice Brown</v>
      </c>
      <c r="C254" s="19" t="str">
        <v>SALES</v>
      </c>
      <c r="D254" s="19" t="str">
        <v>india</v>
      </c>
      <c r="E254" s="19">
        <v>61942</v>
      </c>
      <c r="F254" s="19" t="str">
        <v>61942</v>
      </c>
      <c r="G254" s="19">
        <v>61942</v>
      </c>
      <c r="H254" s="20">
        <v>42477</v>
      </c>
      <c r="I254" s="19">
        <v>3</v>
      </c>
      <c r="J254" s="19" t="str">
        <v>Female</v>
      </c>
      <c r="K254" s="19" t="str">
        <v>user192@example.com</v>
      </c>
      <c r="L254" s="19">
        <v>1067</v>
      </c>
      <c r="M254" s="19">
        <f ca="1"/>
        <v>7</v>
      </c>
    </row>
    <row r="255" spans="1:13" x14ac:dyDescent="0.35">
      <c r="A255" s="19" t="s">
        <v>79</v>
      </c>
      <c r="B255" s="19" t="str">
        <v>Eve Adams</v>
      </c>
      <c r="C255" s="19" t="str">
        <v>SALES</v>
      </c>
      <c r="D255" s="19" t="str">
        <v>australia</v>
      </c>
      <c r="E255" s="19">
        <v>69952</v>
      </c>
      <c r="F255" s="19" t="str">
        <v>69952</v>
      </c>
      <c r="G255" s="19">
        <v>69952</v>
      </c>
      <c r="H255" s="20">
        <v>42498</v>
      </c>
      <c r="I255" s="19">
        <v>5</v>
      </c>
      <c r="J255" s="19" t="str">
        <v>Female</v>
      </c>
      <c r="K255" s="19" t="str">
        <v>invalid_email</v>
      </c>
      <c r="L255" s="19">
        <v>1070</v>
      </c>
      <c r="M255" s="19">
        <f ca="1"/>
        <v>16</v>
      </c>
    </row>
    <row r="256" spans="1:13" x14ac:dyDescent="0.35">
      <c r="A256" s="19" t="s">
        <v>81</v>
      </c>
      <c r="B256" s="19" t="str">
        <v>Bob Johnson</v>
      </c>
      <c r="C256" s="19" t="str">
        <v>MARKETING</v>
      </c>
      <c r="D256" s="19" t="str">
        <v>india</v>
      </c>
      <c r="E256" s="19">
        <v>56512</v>
      </c>
      <c r="F256" s="19" t="str">
        <v>56512</v>
      </c>
      <c r="G256" s="19">
        <v>56512</v>
      </c>
      <c r="H256" s="20">
        <v>42512</v>
      </c>
      <c r="I256" s="19">
        <v>3</v>
      </c>
      <c r="J256" s="19" t="str">
        <v>Other</v>
      </c>
      <c r="K256" s="19" t="str">
        <v>user153@example.com</v>
      </c>
      <c r="L256" s="19">
        <v>1072</v>
      </c>
      <c r="M256" s="19">
        <f ca="1"/>
        <v>2</v>
      </c>
    </row>
    <row r="257" spans="1:13" x14ac:dyDescent="0.35">
      <c r="A257" s="19" t="s">
        <v>86</v>
      </c>
      <c r="B257" s="19" t="str">
        <v>Jane Smith</v>
      </c>
      <c r="C257" s="19" t="str">
        <v>UNKNOWN</v>
      </c>
      <c r="D257" s="19" t="str">
        <v>uk</v>
      </c>
      <c r="E257" s="19">
        <v>69166</v>
      </c>
      <c r="F257" s="19" t="str">
        <v>69166</v>
      </c>
      <c r="G257" s="19">
        <v>69166</v>
      </c>
      <c r="H257" s="20">
        <v>42547</v>
      </c>
      <c r="I257" s="19">
        <v>1</v>
      </c>
      <c r="J257" s="19" t="str">
        <v>Female</v>
      </c>
      <c r="K257" s="19" t="str">
        <v>user22@example.com</v>
      </c>
      <c r="L257" s="19">
        <v>1077</v>
      </c>
      <c r="M257" s="19">
        <f ca="1"/>
        <v>29</v>
      </c>
    </row>
    <row r="258" spans="1:13" x14ac:dyDescent="0.35">
      <c r="A258" s="19" t="s">
        <v>88</v>
      </c>
      <c r="B258" s="19" t="str">
        <v>Chris Lee</v>
      </c>
      <c r="C258" s="19" t="str">
        <v>SALES</v>
      </c>
      <c r="D258" s="19" t="str">
        <v>usa</v>
      </c>
      <c r="E258" s="19">
        <v>66079</v>
      </c>
      <c r="F258" s="19" t="str">
        <v>66079</v>
      </c>
      <c r="G258" s="19">
        <v>66079</v>
      </c>
      <c r="H258" s="20">
        <v>42561</v>
      </c>
      <c r="I258" s="19">
        <v>2</v>
      </c>
      <c r="J258" s="19" t="str">
        <v>Other</v>
      </c>
      <c r="K258" s="19" t="str">
        <v>user55@example.com</v>
      </c>
      <c r="L258" s="19">
        <v>1079</v>
      </c>
      <c r="M258" s="19">
        <f ca="1"/>
        <v>14</v>
      </c>
    </row>
    <row r="259" spans="1:13" x14ac:dyDescent="0.35">
      <c r="A259" s="19" t="s">
        <v>89</v>
      </c>
      <c r="B259" s="19" t="str">
        <v>Eve Adams</v>
      </c>
      <c r="C259" s="19" t="str">
        <v>MARKETING</v>
      </c>
      <c r="D259" s="19" t="str">
        <v>india</v>
      </c>
      <c r="E259" s="19" t="str">
        <v>N/A</v>
      </c>
      <c r="F259" s="19" t="str">
        <v>0</v>
      </c>
      <c r="G259" s="19">
        <v>63687</v>
      </c>
      <c r="H259" s="20" t="str">
        <v>Unknown</v>
      </c>
      <c r="I259" s="19">
        <v>3</v>
      </c>
      <c r="J259" s="19" t="str">
        <v>Unknown</v>
      </c>
      <c r="K259" s="19" t="str">
        <v>user135@example.com</v>
      </c>
      <c r="L259" s="19">
        <v>1080</v>
      </c>
      <c r="M259" s="19">
        <f ca="1"/>
        <v>0</v>
      </c>
    </row>
    <row r="260" spans="1:13" x14ac:dyDescent="0.35">
      <c r="A260" s="19" t="s">
        <v>96</v>
      </c>
      <c r="B260" s="19" t="str">
        <v>Sam Wilson</v>
      </c>
      <c r="C260" s="19" t="str">
        <v>HR</v>
      </c>
      <c r="D260" s="19" t="str">
        <v>germany</v>
      </c>
      <c r="E260" s="19">
        <v>55303</v>
      </c>
      <c r="F260" s="19" t="str">
        <v>55303</v>
      </c>
      <c r="G260" s="19">
        <v>55303</v>
      </c>
      <c r="H260" s="20">
        <v>42617</v>
      </c>
      <c r="I260" s="19">
        <v>4</v>
      </c>
      <c r="J260" s="19" t="str">
        <v>Male</v>
      </c>
      <c r="K260" s="19" t="str">
        <v>user149@example.com</v>
      </c>
      <c r="L260" s="19">
        <v>1087</v>
      </c>
      <c r="M260" s="19">
        <f ca="1"/>
        <v>20</v>
      </c>
    </row>
    <row r="261" spans="1:13" x14ac:dyDescent="0.35">
      <c r="A261" s="19" t="s">
        <v>97</v>
      </c>
      <c r="B261" s="19" t="str">
        <v>Chris Lee</v>
      </c>
      <c r="C261" s="19" t="str">
        <v>IT</v>
      </c>
      <c r="D261" s="19" t="str">
        <v>unknown</v>
      </c>
      <c r="E261" s="19">
        <v>63434</v>
      </c>
      <c r="F261" s="19" t="str">
        <v>63434</v>
      </c>
      <c r="G261" s="19">
        <v>63434</v>
      </c>
      <c r="H261" s="20">
        <v>42624</v>
      </c>
      <c r="I261" s="19">
        <v>3</v>
      </c>
      <c r="J261" s="19" t="str">
        <v>Unknown</v>
      </c>
      <c r="K261" s="19" t="str">
        <v>user48@example.com</v>
      </c>
      <c r="L261" s="19">
        <v>1088</v>
      </c>
      <c r="M261" s="19">
        <f ca="1"/>
        <v>13</v>
      </c>
    </row>
    <row r="262" spans="1:13" x14ac:dyDescent="0.35">
      <c r="A262" s="19" t="s">
        <v>99</v>
      </c>
      <c r="B262" s="19" t="str">
        <v>Unknown</v>
      </c>
      <c r="C262" s="19" t="str">
        <v>MARKETING</v>
      </c>
      <c r="D262" s="19" t="str">
        <v>uk</v>
      </c>
      <c r="E262" s="19">
        <v>50741</v>
      </c>
      <c r="F262" s="19" t="str">
        <v>50741</v>
      </c>
      <c r="G262" s="19">
        <v>50741</v>
      </c>
      <c r="H262" s="20">
        <v>42638</v>
      </c>
      <c r="I262" s="19">
        <v>3</v>
      </c>
      <c r="J262" s="19" t="str">
        <v>Unknown</v>
      </c>
      <c r="K262" s="19" t="str">
        <v>user65@example.com</v>
      </c>
      <c r="L262" s="19">
        <v>1090</v>
      </c>
      <c r="M262" s="19">
        <f ca="1"/>
        <v>30</v>
      </c>
    </row>
    <row r="263" spans="1:13" x14ac:dyDescent="0.35">
      <c r="A263" s="19" t="s">
        <v>100</v>
      </c>
      <c r="B263" s="19" t="str">
        <v>Alice Brown</v>
      </c>
      <c r="C263" s="19" t="str">
        <v>HR</v>
      </c>
      <c r="D263" s="19" t="str">
        <v>australia</v>
      </c>
      <c r="E263" s="19">
        <v>69420</v>
      </c>
      <c r="F263" s="19" t="str">
        <v>69420</v>
      </c>
      <c r="G263" s="19">
        <v>69420</v>
      </c>
      <c r="H263" s="20">
        <v>42645</v>
      </c>
      <c r="I263" s="19">
        <v>1</v>
      </c>
      <c r="J263" s="19" t="str">
        <v>Male</v>
      </c>
      <c r="K263" s="19" t="str">
        <v>user43@example.com</v>
      </c>
      <c r="L263" s="19">
        <v>1091</v>
      </c>
      <c r="M263" s="19">
        <f ca="1"/>
        <v>22</v>
      </c>
    </row>
    <row r="264" spans="1:13" x14ac:dyDescent="0.35">
      <c r="A264" s="19" t="s">
        <v>109</v>
      </c>
      <c r="B264" s="19" t="str">
        <v>Bob Johnson</v>
      </c>
      <c r="C264" s="19" t="str">
        <v>MARKETING</v>
      </c>
      <c r="D264" s="19" t="str">
        <v>unknown</v>
      </c>
      <c r="E264" s="19" t="str">
        <v>N/A</v>
      </c>
      <c r="F264" s="19" t="str">
        <v>0</v>
      </c>
      <c r="G264" s="19">
        <v>63687</v>
      </c>
      <c r="H264" s="20">
        <v>42708</v>
      </c>
      <c r="I264" s="19">
        <v>2</v>
      </c>
      <c r="J264" s="19" t="str">
        <v>Other</v>
      </c>
      <c r="K264" s="19" t="str">
        <v>user40@example.com</v>
      </c>
      <c r="L264" s="19">
        <v>1100</v>
      </c>
      <c r="M264" s="19">
        <f ca="1"/>
        <v>20</v>
      </c>
    </row>
    <row r="265" spans="1:13" x14ac:dyDescent="0.35">
      <c r="A265" s="19" t="s">
        <v>110</v>
      </c>
      <c r="B265" s="19" t="str">
        <v>Bob Johnson</v>
      </c>
      <c r="C265" s="19" t="str">
        <v>IT</v>
      </c>
      <c r="D265" s="19" t="str">
        <v>germany</v>
      </c>
      <c r="E265" s="19">
        <v>66503</v>
      </c>
      <c r="F265" s="19" t="str">
        <v>66503</v>
      </c>
      <c r="G265" s="19">
        <v>66503</v>
      </c>
      <c r="H265" s="20">
        <v>42715</v>
      </c>
      <c r="I265" s="19">
        <v>3</v>
      </c>
      <c r="J265" s="19" t="str">
        <v>Male</v>
      </c>
      <c r="K265" s="19" t="str">
        <v>user200@example.com</v>
      </c>
      <c r="L265" s="19">
        <v>1101</v>
      </c>
      <c r="M265" s="19">
        <f ca="1"/>
        <v>13</v>
      </c>
    </row>
    <row r="266" spans="1:13" x14ac:dyDescent="0.35">
      <c r="A266" s="19" t="s">
        <v>113</v>
      </c>
      <c r="B266" s="19" t="str">
        <v>Jane Smith</v>
      </c>
      <c r="C266" s="19" t="str">
        <v>UNKNOWN</v>
      </c>
      <c r="D266" s="19" t="str">
        <v>australia</v>
      </c>
      <c r="E266" s="19">
        <v>61556</v>
      </c>
      <c r="F266" s="19" t="str">
        <v>61556</v>
      </c>
      <c r="G266" s="19">
        <v>61556</v>
      </c>
      <c r="H266" s="20">
        <v>42736</v>
      </c>
      <c r="I266" s="19">
        <v>1</v>
      </c>
      <c r="J266" s="19" t="str">
        <v>Unknown</v>
      </c>
      <c r="K266" s="19" t="str">
        <v>user40@example.com</v>
      </c>
      <c r="L266" s="19">
        <v>1104</v>
      </c>
      <c r="M266" s="19">
        <f ca="1"/>
        <v>23</v>
      </c>
    </row>
    <row r="267" spans="1:13" x14ac:dyDescent="0.35">
      <c r="A267" s="19" t="s">
        <v>117</v>
      </c>
      <c r="B267" s="19" t="str">
        <v>Sam Wilson</v>
      </c>
      <c r="C267" s="19" t="str">
        <v>HR</v>
      </c>
      <c r="D267" s="19" t="str">
        <v>unknown</v>
      </c>
      <c r="E267" s="19">
        <v>66761</v>
      </c>
      <c r="F267" s="19" t="str">
        <v>66761</v>
      </c>
      <c r="G267" s="19">
        <v>66761</v>
      </c>
      <c r="H267" s="20">
        <v>42764</v>
      </c>
      <c r="I267" s="19">
        <v>1</v>
      </c>
      <c r="J267" s="19" t="str">
        <v>Unknown</v>
      </c>
      <c r="K267" s="19" t="str">
        <v>user93@example.com</v>
      </c>
      <c r="L267" s="19">
        <v>1108</v>
      </c>
      <c r="M267" s="19">
        <f ca="1"/>
        <v>26</v>
      </c>
    </row>
    <row r="268" spans="1:13" x14ac:dyDescent="0.35">
      <c r="A268" s="19" t="s">
        <v>129</v>
      </c>
      <c r="B268" s="19" t="str">
        <v>Unknown</v>
      </c>
      <c r="C268" s="19" t="str">
        <v>IT</v>
      </c>
      <c r="D268" s="19" t="str">
        <v>usa</v>
      </c>
      <c r="E268" s="19" t="str">
        <v>N/A</v>
      </c>
      <c r="F268" s="19" t="str">
        <v>0</v>
      </c>
      <c r="G268" s="19">
        <v>66158</v>
      </c>
      <c r="H268" s="20" t="str">
        <v>Unknown</v>
      </c>
      <c r="I268" s="19">
        <v>5</v>
      </c>
      <c r="J268" s="19" t="str">
        <v>Unknown</v>
      </c>
      <c r="K268" s="19" t="str">
        <v>user101@example.com</v>
      </c>
      <c r="L268" s="19">
        <v>1120</v>
      </c>
      <c r="M268" s="19">
        <f ca="1"/>
        <v>0</v>
      </c>
    </row>
    <row r="269" spans="1:13" x14ac:dyDescent="0.35">
      <c r="A269" s="19" t="s">
        <v>131</v>
      </c>
      <c r="B269" s="19" t="str">
        <v>Bob Johnson</v>
      </c>
      <c r="C269" s="19" t="str">
        <v>SALES</v>
      </c>
      <c r="D269" s="19" t="str">
        <v>germany</v>
      </c>
      <c r="E269" s="19">
        <v>52036</v>
      </c>
      <c r="F269" s="19" t="str">
        <v>52036</v>
      </c>
      <c r="G269" s="19">
        <v>52036</v>
      </c>
      <c r="H269" s="20">
        <v>42862</v>
      </c>
      <c r="I269" s="19">
        <v>3</v>
      </c>
      <c r="J269" s="19" t="str">
        <v>Male</v>
      </c>
      <c r="K269" s="19" t="str">
        <v>user171@example.com</v>
      </c>
      <c r="L269" s="19">
        <v>1122</v>
      </c>
      <c r="M269" s="19">
        <f ca="1"/>
        <v>17</v>
      </c>
    </row>
    <row r="270" spans="1:13" x14ac:dyDescent="0.35">
      <c r="A270" s="19" t="s">
        <v>133</v>
      </c>
      <c r="B270" s="19" t="str">
        <v>John Doe</v>
      </c>
      <c r="C270" s="19" t="str">
        <v>IT</v>
      </c>
      <c r="D270" s="19" t="str">
        <v>unknown</v>
      </c>
      <c r="E270" s="19">
        <v>60034</v>
      </c>
      <c r="F270" s="19" t="str">
        <v>60034</v>
      </c>
      <c r="G270" s="19">
        <v>60034</v>
      </c>
      <c r="H270" s="20">
        <v>42876</v>
      </c>
      <c r="I270" s="19">
        <v>1</v>
      </c>
      <c r="J270" s="19" t="str">
        <v>Female</v>
      </c>
      <c r="K270" s="19" t="str">
        <v>user75@example.com</v>
      </c>
      <c r="L270" s="19">
        <v>1124</v>
      </c>
      <c r="M270" s="19">
        <f ca="1"/>
        <v>3</v>
      </c>
    </row>
    <row r="271" spans="1:13" x14ac:dyDescent="0.35">
      <c r="A271" s="19" t="s">
        <v>138</v>
      </c>
      <c r="B271" s="19" t="str">
        <v>Bob Johnson</v>
      </c>
      <c r="C271" s="19" t="str">
        <v>UNKNOWN</v>
      </c>
      <c r="D271" s="19" t="str">
        <v>uk</v>
      </c>
      <c r="E271" s="19">
        <v>62994</v>
      </c>
      <c r="F271" s="19" t="str">
        <v>62994</v>
      </c>
      <c r="G271" s="19">
        <v>62994</v>
      </c>
      <c r="H271" s="20">
        <v>42911</v>
      </c>
      <c r="I271" s="19">
        <v>3</v>
      </c>
      <c r="J271" s="19" t="str">
        <v>Unknown</v>
      </c>
      <c r="K271" s="19" t="str">
        <v>user175@example.com</v>
      </c>
      <c r="L271" s="19">
        <v>1129</v>
      </c>
      <c r="M271" s="19">
        <f ca="1"/>
        <v>30</v>
      </c>
    </row>
    <row r="272" spans="1:13" x14ac:dyDescent="0.35">
      <c r="A272" s="19" t="s">
        <v>143</v>
      </c>
      <c r="B272" s="19" t="str">
        <v>Eve Adams</v>
      </c>
      <c r="C272" s="19" t="str">
        <v>MARKETING</v>
      </c>
      <c r="D272" s="19" t="str">
        <v>india</v>
      </c>
      <c r="E272" s="19">
        <v>62476</v>
      </c>
      <c r="F272" s="19" t="str">
        <v>62476</v>
      </c>
      <c r="G272" s="19">
        <v>62476</v>
      </c>
      <c r="H272" s="20">
        <v>42946</v>
      </c>
      <c r="I272" s="19">
        <v>1</v>
      </c>
      <c r="J272" s="19" t="str">
        <v>Other</v>
      </c>
      <c r="K272" s="19" t="str">
        <v>user63@example.com</v>
      </c>
      <c r="L272" s="19">
        <v>1134</v>
      </c>
      <c r="M272" s="19">
        <f ca="1"/>
        <v>25</v>
      </c>
    </row>
    <row r="273" spans="1:13" x14ac:dyDescent="0.35">
      <c r="A273" s="19" t="s">
        <v>145</v>
      </c>
      <c r="B273" s="19" t="str">
        <v>Jane Smith</v>
      </c>
      <c r="C273" s="19" t="str">
        <v>FINANCE</v>
      </c>
      <c r="D273" s="19" t="str">
        <v>india</v>
      </c>
      <c r="E273" s="19">
        <v>60335</v>
      </c>
      <c r="F273" s="19" t="str">
        <v>60335</v>
      </c>
      <c r="G273" s="19">
        <v>60335</v>
      </c>
      <c r="H273" s="20">
        <v>42960</v>
      </c>
      <c r="I273" s="19">
        <v>4</v>
      </c>
      <c r="J273" s="19" t="str">
        <v>Other</v>
      </c>
      <c r="K273" s="19" t="str">
        <v>user59@example.com</v>
      </c>
      <c r="L273" s="19">
        <v>1136</v>
      </c>
      <c r="M273" s="19">
        <f ca="1"/>
        <v>11</v>
      </c>
    </row>
    <row r="274" spans="1:13" x14ac:dyDescent="0.35">
      <c r="A274" s="19" t="s">
        <v>149</v>
      </c>
      <c r="B274" s="19" t="str">
        <v>Chris Lee</v>
      </c>
      <c r="C274" s="19" t="str">
        <v>SALES</v>
      </c>
      <c r="D274" s="19" t="str">
        <v>usa</v>
      </c>
      <c r="E274" s="19" t="str">
        <v>N/A</v>
      </c>
      <c r="F274" s="19" t="str">
        <v>0</v>
      </c>
      <c r="G274" s="19">
        <v>67929</v>
      </c>
      <c r="H274" s="20">
        <v>42988</v>
      </c>
      <c r="I274" s="19">
        <v>4</v>
      </c>
      <c r="J274" s="19" t="str">
        <v>Other</v>
      </c>
      <c r="K274" s="19" t="str">
        <v>invalid_email</v>
      </c>
      <c r="L274" s="19">
        <v>1140</v>
      </c>
      <c r="M274" s="19">
        <f ca="1"/>
        <v>14</v>
      </c>
    </row>
    <row r="275" spans="1:13" x14ac:dyDescent="0.35">
      <c r="A275" s="19" t="s">
        <v>150</v>
      </c>
      <c r="B275" s="19" t="str">
        <v>Jane Smith</v>
      </c>
      <c r="C275" s="19" t="str">
        <v>MARKETING</v>
      </c>
      <c r="D275" s="19" t="str">
        <v>usa</v>
      </c>
      <c r="E275" s="19">
        <v>66882</v>
      </c>
      <c r="F275" s="19" t="str">
        <v>66882</v>
      </c>
      <c r="G275" s="19">
        <v>66882</v>
      </c>
      <c r="H275" s="20">
        <v>42995</v>
      </c>
      <c r="I275" s="19">
        <v>5</v>
      </c>
      <c r="J275" s="19" t="str">
        <v>Other</v>
      </c>
      <c r="K275" s="19" t="str">
        <v>user103@example.com</v>
      </c>
      <c r="L275" s="19">
        <v>1141</v>
      </c>
      <c r="M275" s="19">
        <f ca="1"/>
        <v>7</v>
      </c>
    </row>
    <row r="276" spans="1:13" x14ac:dyDescent="0.35">
      <c r="A276" s="19" t="s">
        <v>155</v>
      </c>
      <c r="B276" s="19" t="str">
        <v>John Doe</v>
      </c>
      <c r="C276" s="19" t="str">
        <v>MARKETING</v>
      </c>
      <c r="D276" s="19" t="str">
        <v>usa</v>
      </c>
      <c r="E276" s="19">
        <v>57141</v>
      </c>
      <c r="F276" s="19" t="str">
        <v>57141</v>
      </c>
      <c r="G276" s="19">
        <v>57141</v>
      </c>
      <c r="H276" s="20">
        <v>43030</v>
      </c>
      <c r="I276" s="19">
        <v>2</v>
      </c>
      <c r="J276" s="19" t="str">
        <v>Unknown</v>
      </c>
      <c r="K276" s="19" t="str">
        <v>user165@example.com</v>
      </c>
      <c r="L276" s="19">
        <v>1146</v>
      </c>
      <c r="M276" s="19">
        <f ca="1"/>
        <v>2</v>
      </c>
    </row>
    <row r="277" spans="1:13" x14ac:dyDescent="0.35">
      <c r="A277" s="19" t="s">
        <v>156</v>
      </c>
      <c r="B277" s="19" t="str">
        <v>Bob Johnson</v>
      </c>
      <c r="C277" s="19" t="str">
        <v>SALES</v>
      </c>
      <c r="D277" s="19" t="str">
        <v>australia</v>
      </c>
      <c r="E277" s="19">
        <v>65270</v>
      </c>
      <c r="F277" s="19" t="str">
        <v>65270</v>
      </c>
      <c r="G277" s="19">
        <v>65270</v>
      </c>
      <c r="H277" s="20">
        <v>43037</v>
      </c>
      <c r="I277" s="19">
        <v>1</v>
      </c>
      <c r="J277" s="19" t="str">
        <v>Unknown</v>
      </c>
      <c r="K277" s="19" t="str">
        <v>user163@example.com</v>
      </c>
      <c r="L277" s="19">
        <v>1147</v>
      </c>
      <c r="M277" s="19">
        <f ca="1"/>
        <v>26</v>
      </c>
    </row>
    <row r="278" spans="1:13" x14ac:dyDescent="0.35">
      <c r="A278" s="19" t="s">
        <v>157</v>
      </c>
      <c r="B278" s="19" t="str">
        <v>Bob Johnson</v>
      </c>
      <c r="C278" s="19" t="str">
        <v>UNKNOWN</v>
      </c>
      <c r="D278" s="19" t="str">
        <v>uk</v>
      </c>
      <c r="E278" s="19">
        <v>67335</v>
      </c>
      <c r="F278" s="19" t="str">
        <v>67335</v>
      </c>
      <c r="G278" s="19">
        <v>67335</v>
      </c>
      <c r="H278" s="20">
        <v>43044</v>
      </c>
      <c r="I278" s="19">
        <v>1</v>
      </c>
      <c r="J278" s="19" t="str">
        <v>Other</v>
      </c>
      <c r="K278" s="19" t="str">
        <v>user112@example.com</v>
      </c>
      <c r="L278" s="19">
        <v>1148</v>
      </c>
      <c r="M278" s="19">
        <f ca="1"/>
        <v>19</v>
      </c>
    </row>
  </sheetData>
  <autoFilter ref="A2:O152" xr:uid="{F79D7631-4A2F-4641-A922-0F8912E518CA}"/>
  <mergeCells count="6">
    <mergeCell ref="B231:C231"/>
    <mergeCell ref="B192:L192"/>
    <mergeCell ref="B220:L220"/>
    <mergeCell ref="A175:D175"/>
    <mergeCell ref="A176:B176"/>
    <mergeCell ref="C176:D176"/>
  </mergeCells>
  <conditionalFormatting sqref="A193">
    <cfRule type="duplicateValues" dxfId="399" priority="8"/>
  </conditionalFormatting>
  <conditionalFormatting sqref="A221">
    <cfRule type="duplicateValues" dxfId="398" priority="5"/>
  </conditionalFormatting>
  <conditionalFormatting sqref="A232">
    <cfRule type="duplicateValues" dxfId="397" priority="2"/>
  </conditionalFormatting>
  <conditionalFormatting sqref="L2">
    <cfRule type="duplicateValues" dxfId="396" priority="9"/>
  </conditionalFormatting>
  <conditionalFormatting sqref="L156">
    <cfRule type="duplicateValues" dxfId="395" priority="3"/>
  </conditionalFormatting>
  <conditionalFormatting sqref="L193">
    <cfRule type="duplicateValues" dxfId="394" priority="7"/>
  </conditionalFormatting>
  <conditionalFormatting sqref="L221">
    <cfRule type="duplicateValues" dxfId="393" priority="4"/>
  </conditionalFormatting>
  <conditionalFormatting sqref="L232">
    <cfRule type="duplicateValues" dxfId="392" priority="1"/>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2" id="{83594197-B80A-4FC4-94F8-CD94DA9FF211}">
            <x14:iconSet iconSet="3Flags" custom="1">
              <x14:cfvo type="percent">
                <xm:f>0</xm:f>
              </x14:cfvo>
              <x14:cfvo type="num" gte="0">
                <xm:f>50000</xm:f>
              </x14:cfvo>
              <x14:cfvo type="num">
                <xm:f>70000</xm:f>
              </x14:cfvo>
              <x14:cfIcon iconSet="3Triangles" iconId="0"/>
              <x14:cfIcon iconSet="3Triangles" iconId="1"/>
              <x14:cfIcon iconSet="3Triangles" iconId="2"/>
            </x14:iconSet>
          </x14:cfRule>
          <xm:sqref>G3:G152</xm:sqref>
        </x14:conditionalFormatting>
        <x14:conditionalFormatting xmlns:xm="http://schemas.microsoft.com/office/excel/2006/main">
          <x14:cfRule type="iconSet" priority="6" id="{D60CE35E-AE2A-47D6-9A1B-9162BA8AF683}">
            <x14:iconSet iconSet="3Flags" custom="1">
              <x14:cfvo type="percent">
                <xm:f>0</xm:f>
              </x14:cfvo>
              <x14:cfvo type="num" gte="0">
                <xm:f>50000</xm:f>
              </x14:cfvo>
              <x14:cfvo type="num">
                <xm:f>70000</xm:f>
              </x14:cfvo>
              <x14:cfIcon iconSet="3Triangles" iconId="0"/>
              <x14:cfIcon iconSet="3Triangles" iconId="1"/>
              <x14:cfIcon iconSet="3Triangles" iconId="2"/>
            </x14:iconSet>
          </x14:cfRule>
          <xm:sqref>G222:G226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1550-0DAA-479D-B9D1-F0E14A83CF8E}">
  <dimension ref="A1:K167"/>
  <sheetViews>
    <sheetView topLeftCell="A138" workbookViewId="0">
      <selection activeCell="C164" sqref="C164"/>
    </sheetView>
  </sheetViews>
  <sheetFormatPr defaultColWidth="8.7265625" defaultRowHeight="14.5" x14ac:dyDescent="0.35"/>
  <cols>
    <col min="1" max="1" width="14.81640625" style="6" customWidth="1"/>
    <col min="2" max="2" width="15.54296875" style="6" customWidth="1"/>
    <col min="3" max="3" width="15.453125" style="6" customWidth="1"/>
    <col min="4" max="4" width="15.54296875" style="6" bestFit="1" customWidth="1"/>
    <col min="5" max="5" width="24.81640625" style="6" bestFit="1" customWidth="1"/>
    <col min="6" max="6" width="23.453125" style="6" bestFit="1" customWidth="1"/>
    <col min="7" max="7" width="23" style="6" bestFit="1" customWidth="1"/>
    <col min="8" max="8" width="21.26953125" style="6" bestFit="1" customWidth="1"/>
    <col min="9" max="9" width="21.1796875" style="6" bestFit="1" customWidth="1"/>
    <col min="10" max="10" width="14.54296875" style="6" bestFit="1" customWidth="1"/>
    <col min="11" max="11" width="21.1796875" style="6" bestFit="1" customWidth="1"/>
    <col min="12" max="16384" width="8.7265625" style="6"/>
  </cols>
  <sheetData>
    <row r="1" spans="1:11" ht="18.5" x14ac:dyDescent="0.35">
      <c r="A1" s="9" t="s">
        <v>0</v>
      </c>
      <c r="B1" s="9" t="s">
        <v>1</v>
      </c>
      <c r="C1" s="10" t="s">
        <v>2</v>
      </c>
      <c r="D1" s="9" t="s">
        <v>3</v>
      </c>
      <c r="E1" s="36" t="s">
        <v>4</v>
      </c>
      <c r="F1" s="9" t="s">
        <v>5</v>
      </c>
      <c r="G1" s="10" t="s">
        <v>6</v>
      </c>
      <c r="H1" s="10" t="s">
        <v>7</v>
      </c>
      <c r="I1" s="16" t="s">
        <v>8</v>
      </c>
      <c r="J1" s="29" t="s">
        <v>401</v>
      </c>
      <c r="K1" s="9" t="s">
        <v>8</v>
      </c>
    </row>
    <row r="2" spans="1:11" x14ac:dyDescent="0.35">
      <c r="A2" s="19" t="s">
        <v>9</v>
      </c>
      <c r="B2" s="19" t="s">
        <v>178</v>
      </c>
      <c r="C2" s="19" t="s">
        <v>335</v>
      </c>
      <c r="D2" s="19" t="s">
        <v>340</v>
      </c>
      <c r="E2" s="37">
        <v>65605</v>
      </c>
      <c r="F2" s="20" t="s">
        <v>178</v>
      </c>
      <c r="G2" s="19">
        <v>2</v>
      </c>
      <c r="H2" s="19" t="s">
        <v>178</v>
      </c>
      <c r="I2" s="19" t="s">
        <v>182</v>
      </c>
      <c r="J2" s="28">
        <f ca="1">IF(F2="Unknown",0,DATEDIF(F2, TODAY(), "MD"))</f>
        <v>0</v>
      </c>
      <c r="K2" s="34" t="s">
        <v>340</v>
      </c>
    </row>
    <row r="3" spans="1:11" x14ac:dyDescent="0.35">
      <c r="A3" s="19" t="s">
        <v>10</v>
      </c>
      <c r="B3" s="19" t="s">
        <v>159</v>
      </c>
      <c r="C3" s="19" t="s">
        <v>167</v>
      </c>
      <c r="D3" s="19" t="s">
        <v>341</v>
      </c>
      <c r="E3" s="37">
        <v>54255</v>
      </c>
      <c r="F3" s="20">
        <v>42015</v>
      </c>
      <c r="G3" s="19">
        <v>1</v>
      </c>
      <c r="H3" s="19" t="s">
        <v>179</v>
      </c>
      <c r="I3" s="19" t="s">
        <v>183</v>
      </c>
      <c r="J3" s="28">
        <f ca="1">IF(F3="Unknown",0,DATEDIF(F3, TODAY(), "MD"))</f>
        <v>13</v>
      </c>
      <c r="K3" s="34" t="s">
        <v>183</v>
      </c>
    </row>
    <row r="4" spans="1:11" x14ac:dyDescent="0.35">
      <c r="A4" s="19" t="s">
        <v>11</v>
      </c>
      <c r="B4" s="19" t="s">
        <v>160</v>
      </c>
      <c r="C4" s="19" t="s">
        <v>335</v>
      </c>
      <c r="D4" s="19" t="s">
        <v>341</v>
      </c>
      <c r="E4" s="37">
        <v>63184</v>
      </c>
      <c r="F4" s="20">
        <v>42022</v>
      </c>
      <c r="G4" s="19">
        <v>2</v>
      </c>
      <c r="H4" s="19" t="s">
        <v>178</v>
      </c>
      <c r="I4" s="19" t="s">
        <v>184</v>
      </c>
      <c r="J4" s="28">
        <f t="shared" ref="J4:J67" ca="1" si="0">IF(F4="Unknown",0,DATEDIF(F4, TODAY(), "MD"))</f>
        <v>6</v>
      </c>
      <c r="K4" s="34" t="s">
        <v>184</v>
      </c>
    </row>
    <row r="5" spans="1:11" x14ac:dyDescent="0.35">
      <c r="A5" s="19" t="s">
        <v>12</v>
      </c>
      <c r="B5" s="19" t="s">
        <v>161</v>
      </c>
      <c r="C5" s="19" t="s">
        <v>336</v>
      </c>
      <c r="D5" s="19" t="s">
        <v>342</v>
      </c>
      <c r="E5" s="37">
        <v>94406</v>
      </c>
      <c r="F5" s="20">
        <v>42029</v>
      </c>
      <c r="G5" s="19">
        <v>1</v>
      </c>
      <c r="H5" s="19" t="s">
        <v>180</v>
      </c>
      <c r="I5" s="19" t="s">
        <v>185</v>
      </c>
      <c r="J5" s="28">
        <f t="shared" ca="1" si="0"/>
        <v>30</v>
      </c>
      <c r="K5" s="34" t="s">
        <v>185</v>
      </c>
    </row>
    <row r="6" spans="1:11" x14ac:dyDescent="0.35">
      <c r="A6" s="19" t="s">
        <v>13</v>
      </c>
      <c r="B6" s="19" t="s">
        <v>162</v>
      </c>
      <c r="C6" s="19" t="s">
        <v>336</v>
      </c>
      <c r="D6" s="19" t="s">
        <v>341</v>
      </c>
      <c r="E6" s="37">
        <v>64120</v>
      </c>
      <c r="F6" s="20">
        <v>42036</v>
      </c>
      <c r="G6" s="19">
        <v>1</v>
      </c>
      <c r="H6" s="19" t="s">
        <v>180</v>
      </c>
      <c r="I6" s="19" t="s">
        <v>186</v>
      </c>
      <c r="J6" s="28">
        <f t="shared" ca="1" si="0"/>
        <v>23</v>
      </c>
      <c r="K6" s="34" t="s">
        <v>186</v>
      </c>
    </row>
    <row r="7" spans="1:11" x14ac:dyDescent="0.35">
      <c r="A7" s="19" t="s">
        <v>14</v>
      </c>
      <c r="B7" s="19" t="s">
        <v>160</v>
      </c>
      <c r="C7" s="19" t="s">
        <v>169</v>
      </c>
      <c r="D7" s="19" t="s">
        <v>343</v>
      </c>
      <c r="E7" s="37">
        <v>78421</v>
      </c>
      <c r="F7" s="20">
        <v>42043</v>
      </c>
      <c r="G7" s="19">
        <v>2</v>
      </c>
      <c r="H7" s="19" t="s">
        <v>181</v>
      </c>
      <c r="I7" s="19" t="s">
        <v>187</v>
      </c>
      <c r="J7" s="28">
        <f t="shared" ca="1" si="0"/>
        <v>16</v>
      </c>
      <c r="K7" s="34" t="s">
        <v>187</v>
      </c>
    </row>
    <row r="8" spans="1:11" x14ac:dyDescent="0.35">
      <c r="A8" s="19" t="s">
        <v>15</v>
      </c>
      <c r="B8" s="19" t="s">
        <v>163</v>
      </c>
      <c r="C8" s="19" t="s">
        <v>336</v>
      </c>
      <c r="D8" s="19" t="s">
        <v>340</v>
      </c>
      <c r="E8" s="37">
        <v>67721</v>
      </c>
      <c r="F8" s="20">
        <v>42050</v>
      </c>
      <c r="G8" s="19">
        <v>3</v>
      </c>
      <c r="H8" s="19" t="s">
        <v>180</v>
      </c>
      <c r="I8" s="19" t="s">
        <v>185</v>
      </c>
      <c r="J8" s="28">
        <f t="shared" ca="1" si="0"/>
        <v>9</v>
      </c>
      <c r="K8" s="34" t="s">
        <v>185</v>
      </c>
    </row>
    <row r="9" spans="1:11" x14ac:dyDescent="0.35">
      <c r="A9" s="19" t="s">
        <v>16</v>
      </c>
      <c r="B9" s="19" t="s">
        <v>164</v>
      </c>
      <c r="C9" s="19" t="s">
        <v>337</v>
      </c>
      <c r="D9" s="19" t="s">
        <v>340</v>
      </c>
      <c r="E9" s="37">
        <v>35364</v>
      </c>
      <c r="F9" s="20">
        <v>42057</v>
      </c>
      <c r="G9" s="19">
        <v>2</v>
      </c>
      <c r="H9" s="19" t="s">
        <v>179</v>
      </c>
      <c r="I9" s="19" t="s">
        <v>188</v>
      </c>
      <c r="J9" s="28">
        <f t="shared" ca="1" si="0"/>
        <v>2</v>
      </c>
      <c r="K9" s="34" t="s">
        <v>188</v>
      </c>
    </row>
    <row r="10" spans="1:11" x14ac:dyDescent="0.35">
      <c r="A10" s="19" t="s">
        <v>17</v>
      </c>
      <c r="B10" s="19" t="s">
        <v>160</v>
      </c>
      <c r="C10" s="19" t="s">
        <v>169</v>
      </c>
      <c r="D10" s="19" t="s">
        <v>341</v>
      </c>
      <c r="E10" s="37">
        <v>97881</v>
      </c>
      <c r="F10" s="20">
        <v>42064</v>
      </c>
      <c r="G10" s="19">
        <v>3</v>
      </c>
      <c r="H10" s="19" t="s">
        <v>181</v>
      </c>
      <c r="I10" s="19" t="s">
        <v>189</v>
      </c>
      <c r="J10" s="28">
        <f t="shared" ca="1" si="0"/>
        <v>23</v>
      </c>
      <c r="K10" s="34" t="s">
        <v>189</v>
      </c>
    </row>
    <row r="11" spans="1:11" x14ac:dyDescent="0.35">
      <c r="A11" s="19" t="s">
        <v>18</v>
      </c>
      <c r="B11" s="19" t="s">
        <v>164</v>
      </c>
      <c r="C11" s="19" t="s">
        <v>167</v>
      </c>
      <c r="D11" s="19" t="s">
        <v>344</v>
      </c>
      <c r="E11" s="37">
        <v>91846</v>
      </c>
      <c r="F11" s="20">
        <v>42071</v>
      </c>
      <c r="G11" s="19">
        <v>3</v>
      </c>
      <c r="H11" s="19" t="s">
        <v>180</v>
      </c>
      <c r="I11" s="19" t="s">
        <v>190</v>
      </c>
      <c r="J11" s="28">
        <f t="shared" ca="1" si="0"/>
        <v>16</v>
      </c>
      <c r="K11" s="34" t="s">
        <v>190</v>
      </c>
    </row>
    <row r="12" spans="1:11" x14ac:dyDescent="0.35">
      <c r="A12" s="19" t="s">
        <v>19</v>
      </c>
      <c r="B12" s="19" t="s">
        <v>163</v>
      </c>
      <c r="C12" s="19" t="s">
        <v>335</v>
      </c>
      <c r="D12" s="19" t="s">
        <v>344</v>
      </c>
      <c r="E12" s="37">
        <v>64247</v>
      </c>
      <c r="F12" s="20">
        <v>42078</v>
      </c>
      <c r="G12" s="19">
        <v>1</v>
      </c>
      <c r="H12" s="19" t="s">
        <v>181</v>
      </c>
      <c r="I12" s="19" t="s">
        <v>191</v>
      </c>
      <c r="J12" s="28">
        <f t="shared" ca="1" si="0"/>
        <v>9</v>
      </c>
      <c r="K12" s="34" t="s">
        <v>191</v>
      </c>
    </row>
    <row r="13" spans="1:11" x14ac:dyDescent="0.35">
      <c r="A13" s="19" t="s">
        <v>20</v>
      </c>
      <c r="B13" s="19" t="s">
        <v>163</v>
      </c>
      <c r="C13" s="19" t="s">
        <v>169</v>
      </c>
      <c r="D13" s="19" t="s">
        <v>342</v>
      </c>
      <c r="E13" s="37">
        <v>91180</v>
      </c>
      <c r="F13" s="20">
        <v>42085</v>
      </c>
      <c r="G13" s="19">
        <v>5</v>
      </c>
      <c r="H13" s="19" t="s">
        <v>180</v>
      </c>
      <c r="I13" s="19" t="s">
        <v>192</v>
      </c>
      <c r="J13" s="28">
        <f t="shared" ca="1" si="0"/>
        <v>2</v>
      </c>
      <c r="K13" s="34" t="s">
        <v>192</v>
      </c>
    </row>
    <row r="14" spans="1:11" x14ac:dyDescent="0.35">
      <c r="A14" s="19" t="s">
        <v>21</v>
      </c>
      <c r="B14" s="19" t="s">
        <v>165</v>
      </c>
      <c r="C14" s="19" t="s">
        <v>336</v>
      </c>
      <c r="D14" s="19" t="s">
        <v>340</v>
      </c>
      <c r="E14" s="37">
        <v>96418</v>
      </c>
      <c r="F14" s="20">
        <v>42092</v>
      </c>
      <c r="G14" s="19">
        <v>5</v>
      </c>
      <c r="H14" s="19" t="s">
        <v>180</v>
      </c>
      <c r="I14" s="19" t="s">
        <v>183</v>
      </c>
      <c r="J14" s="28">
        <f t="shared" ca="1" si="0"/>
        <v>26</v>
      </c>
      <c r="K14" s="34" t="s">
        <v>183</v>
      </c>
    </row>
    <row r="15" spans="1:11" x14ac:dyDescent="0.35">
      <c r="A15" s="19" t="s">
        <v>22</v>
      </c>
      <c r="B15" s="19" t="s">
        <v>163</v>
      </c>
      <c r="C15" s="19" t="s">
        <v>338</v>
      </c>
      <c r="D15" s="19" t="s">
        <v>343</v>
      </c>
      <c r="E15" s="37">
        <v>62158</v>
      </c>
      <c r="F15" s="20">
        <v>42099</v>
      </c>
      <c r="G15" s="19">
        <v>4</v>
      </c>
      <c r="H15" s="19" t="s">
        <v>178</v>
      </c>
      <c r="I15" s="19" t="s">
        <v>193</v>
      </c>
      <c r="J15" s="28">
        <f t="shared" ca="1" si="0"/>
        <v>19</v>
      </c>
      <c r="K15" s="34" t="s">
        <v>193</v>
      </c>
    </row>
    <row r="16" spans="1:11" x14ac:dyDescent="0.35">
      <c r="A16" s="19" t="s">
        <v>23</v>
      </c>
      <c r="B16" s="19" t="s">
        <v>162</v>
      </c>
      <c r="C16" s="19" t="s">
        <v>167</v>
      </c>
      <c r="D16" s="19" t="s">
        <v>340</v>
      </c>
      <c r="E16" s="37">
        <v>59894</v>
      </c>
      <c r="F16" s="20">
        <v>42106</v>
      </c>
      <c r="G16" s="19">
        <v>2</v>
      </c>
      <c r="H16" s="19" t="s">
        <v>180</v>
      </c>
      <c r="I16" s="19" t="s">
        <v>194</v>
      </c>
      <c r="J16" s="28">
        <f t="shared" ca="1" si="0"/>
        <v>12</v>
      </c>
      <c r="K16" s="34" t="s">
        <v>194</v>
      </c>
    </row>
    <row r="17" spans="1:11" x14ac:dyDescent="0.35">
      <c r="A17" s="19" t="s">
        <v>24</v>
      </c>
      <c r="B17" s="19" t="s">
        <v>178</v>
      </c>
      <c r="C17" s="19" t="s">
        <v>169</v>
      </c>
      <c r="D17" s="19" t="s">
        <v>343</v>
      </c>
      <c r="E17" s="37">
        <v>92443</v>
      </c>
      <c r="F17" s="20">
        <v>42113</v>
      </c>
      <c r="G17" s="19">
        <v>3</v>
      </c>
      <c r="H17" s="19" t="s">
        <v>179</v>
      </c>
      <c r="I17" s="19" t="s">
        <v>195</v>
      </c>
      <c r="J17" s="28">
        <f t="shared" ca="1" si="0"/>
        <v>5</v>
      </c>
      <c r="K17" s="34" t="s">
        <v>195</v>
      </c>
    </row>
    <row r="18" spans="1:11" x14ac:dyDescent="0.35">
      <c r="A18" s="19" t="s">
        <v>25</v>
      </c>
      <c r="B18" s="19" t="s">
        <v>165</v>
      </c>
      <c r="C18" s="19" t="s">
        <v>338</v>
      </c>
      <c r="D18" s="19" t="s">
        <v>341</v>
      </c>
      <c r="E18" s="37">
        <v>90271</v>
      </c>
      <c r="F18" s="20">
        <v>42120</v>
      </c>
      <c r="G18" s="19">
        <v>3</v>
      </c>
      <c r="H18" s="19" t="s">
        <v>178</v>
      </c>
      <c r="I18" s="19" t="s">
        <v>196</v>
      </c>
      <c r="J18" s="28">
        <f t="shared" ca="1" si="0"/>
        <v>29</v>
      </c>
      <c r="K18" s="34" t="s">
        <v>196</v>
      </c>
    </row>
    <row r="19" spans="1:11" x14ac:dyDescent="0.35">
      <c r="A19" s="19" t="s">
        <v>26</v>
      </c>
      <c r="B19" s="19" t="s">
        <v>162</v>
      </c>
      <c r="C19" s="19" t="s">
        <v>335</v>
      </c>
      <c r="D19" s="19" t="s">
        <v>345</v>
      </c>
      <c r="E19" s="37">
        <v>41341</v>
      </c>
      <c r="F19" s="20">
        <v>42127</v>
      </c>
      <c r="G19" s="19">
        <v>1</v>
      </c>
      <c r="H19" s="19" t="s">
        <v>179</v>
      </c>
      <c r="I19" s="19" t="s">
        <v>197</v>
      </c>
      <c r="J19" s="28">
        <f t="shared" ca="1" si="0"/>
        <v>21</v>
      </c>
      <c r="K19" s="34" t="s">
        <v>197</v>
      </c>
    </row>
    <row r="20" spans="1:11" x14ac:dyDescent="0.35">
      <c r="A20" s="19" t="s">
        <v>27</v>
      </c>
      <c r="B20" s="19" t="s">
        <v>160</v>
      </c>
      <c r="C20" s="19" t="s">
        <v>335</v>
      </c>
      <c r="D20" s="19" t="s">
        <v>344</v>
      </c>
      <c r="E20" s="37">
        <v>73602</v>
      </c>
      <c r="F20" s="20">
        <v>42134</v>
      </c>
      <c r="G20" s="19">
        <v>3</v>
      </c>
      <c r="H20" s="19" t="s">
        <v>178</v>
      </c>
      <c r="I20" s="19" t="s">
        <v>198</v>
      </c>
      <c r="J20" s="28">
        <f t="shared" ca="1" si="0"/>
        <v>14</v>
      </c>
      <c r="K20" s="34" t="s">
        <v>198</v>
      </c>
    </row>
    <row r="21" spans="1:11" x14ac:dyDescent="0.35">
      <c r="A21" s="19" t="s">
        <v>28</v>
      </c>
      <c r="B21" s="19" t="s">
        <v>159</v>
      </c>
      <c r="C21" s="19" t="s">
        <v>338</v>
      </c>
      <c r="D21" s="19" t="s">
        <v>343</v>
      </c>
      <c r="E21" s="37">
        <v>67531</v>
      </c>
      <c r="F21" s="20">
        <v>42141</v>
      </c>
      <c r="G21" s="19">
        <v>5</v>
      </c>
      <c r="H21" s="19" t="s">
        <v>181</v>
      </c>
      <c r="I21" s="19" t="s">
        <v>199</v>
      </c>
      <c r="J21" s="28">
        <f t="shared" ca="1" si="0"/>
        <v>7</v>
      </c>
      <c r="K21" s="34" t="s">
        <v>199</v>
      </c>
    </row>
    <row r="22" spans="1:11" x14ac:dyDescent="0.35">
      <c r="A22" s="19" t="s">
        <v>29</v>
      </c>
      <c r="B22" s="19" t="s">
        <v>162</v>
      </c>
      <c r="C22" s="19" t="s">
        <v>167</v>
      </c>
      <c r="D22" s="19" t="s">
        <v>342</v>
      </c>
      <c r="E22" s="37">
        <v>67835</v>
      </c>
      <c r="F22" s="20">
        <v>42148</v>
      </c>
      <c r="G22" s="19">
        <v>2</v>
      </c>
      <c r="H22" s="19" t="s">
        <v>179</v>
      </c>
      <c r="I22" s="19" t="s">
        <v>200</v>
      </c>
      <c r="J22" s="28">
        <f t="shared" ca="1" si="0"/>
        <v>0</v>
      </c>
      <c r="K22" s="34" t="s">
        <v>200</v>
      </c>
    </row>
    <row r="23" spans="1:11" x14ac:dyDescent="0.35">
      <c r="A23" s="19" t="s">
        <v>30</v>
      </c>
      <c r="B23" s="19" t="s">
        <v>162</v>
      </c>
      <c r="C23" s="19" t="s">
        <v>167</v>
      </c>
      <c r="D23" s="19" t="s">
        <v>340</v>
      </c>
      <c r="E23" s="37">
        <v>98922</v>
      </c>
      <c r="F23" s="20">
        <v>42155</v>
      </c>
      <c r="G23" s="19">
        <v>4</v>
      </c>
      <c r="H23" s="19" t="s">
        <v>178</v>
      </c>
      <c r="I23" s="19" t="s">
        <v>201</v>
      </c>
      <c r="J23" s="28">
        <f t="shared" ca="1" si="0"/>
        <v>24</v>
      </c>
      <c r="K23" s="34" t="s">
        <v>201</v>
      </c>
    </row>
    <row r="24" spans="1:11" x14ac:dyDescent="0.35">
      <c r="A24" s="19" t="s">
        <v>31</v>
      </c>
      <c r="B24" s="19" t="s">
        <v>159</v>
      </c>
      <c r="C24" s="19" t="s">
        <v>335</v>
      </c>
      <c r="D24" s="19" t="s">
        <v>343</v>
      </c>
      <c r="E24" s="37">
        <v>38333</v>
      </c>
      <c r="F24" s="20">
        <v>42162</v>
      </c>
      <c r="G24" s="19">
        <v>5</v>
      </c>
      <c r="H24" s="19" t="s">
        <v>178</v>
      </c>
      <c r="I24" s="19" t="s">
        <v>202</v>
      </c>
      <c r="J24" s="28">
        <f t="shared" ca="1" si="0"/>
        <v>17</v>
      </c>
      <c r="K24" s="34" t="s">
        <v>202</v>
      </c>
    </row>
    <row r="25" spans="1:11" x14ac:dyDescent="0.35">
      <c r="A25" s="19" t="s">
        <v>32</v>
      </c>
      <c r="B25" s="19" t="s">
        <v>160</v>
      </c>
      <c r="C25" s="19" t="s">
        <v>337</v>
      </c>
      <c r="D25" s="19" t="s">
        <v>344</v>
      </c>
      <c r="E25" s="37">
        <v>36515</v>
      </c>
      <c r="F25" s="20">
        <v>42169</v>
      </c>
      <c r="G25" s="19">
        <v>3</v>
      </c>
      <c r="H25" s="19" t="s">
        <v>180</v>
      </c>
      <c r="I25" s="19" t="s">
        <v>203</v>
      </c>
      <c r="J25" s="28">
        <f t="shared" ca="1" si="0"/>
        <v>10</v>
      </c>
      <c r="K25" s="34" t="s">
        <v>203</v>
      </c>
    </row>
    <row r="26" spans="1:11" x14ac:dyDescent="0.35">
      <c r="A26" s="19" t="s">
        <v>33</v>
      </c>
      <c r="B26" s="19" t="s">
        <v>163</v>
      </c>
      <c r="C26" s="19" t="s">
        <v>335</v>
      </c>
      <c r="D26" s="19" t="s">
        <v>340</v>
      </c>
      <c r="E26" s="37">
        <v>91005</v>
      </c>
      <c r="F26" s="20">
        <v>42176</v>
      </c>
      <c r="G26" s="19">
        <v>1</v>
      </c>
      <c r="H26" s="19" t="s">
        <v>179</v>
      </c>
      <c r="I26" s="19" t="s">
        <v>204</v>
      </c>
      <c r="J26" s="28">
        <f t="shared" ca="1" si="0"/>
        <v>3</v>
      </c>
      <c r="K26" s="34" t="s">
        <v>204</v>
      </c>
    </row>
    <row r="27" spans="1:11" x14ac:dyDescent="0.35">
      <c r="A27" s="19" t="s">
        <v>34</v>
      </c>
      <c r="B27" s="19" t="s">
        <v>164</v>
      </c>
      <c r="C27" s="19" t="s">
        <v>338</v>
      </c>
      <c r="D27" s="19" t="s">
        <v>340</v>
      </c>
      <c r="E27" s="37">
        <v>52272</v>
      </c>
      <c r="F27" s="20">
        <v>42183</v>
      </c>
      <c r="G27" s="19">
        <v>3</v>
      </c>
      <c r="H27" s="19" t="s">
        <v>178</v>
      </c>
      <c r="I27" s="19" t="s">
        <v>205</v>
      </c>
      <c r="J27" s="28">
        <f t="shared" ca="1" si="0"/>
        <v>27</v>
      </c>
      <c r="K27" s="34" t="s">
        <v>205</v>
      </c>
    </row>
    <row r="28" spans="1:11" x14ac:dyDescent="0.35">
      <c r="A28" s="19" t="s">
        <v>35</v>
      </c>
      <c r="B28" s="19" t="s">
        <v>159</v>
      </c>
      <c r="C28" s="19" t="s">
        <v>336</v>
      </c>
      <c r="D28" s="19" t="s">
        <v>341</v>
      </c>
      <c r="E28" s="37">
        <v>76518</v>
      </c>
      <c r="F28" s="20">
        <v>42190</v>
      </c>
      <c r="G28" s="19">
        <v>2</v>
      </c>
      <c r="H28" s="19" t="s">
        <v>181</v>
      </c>
      <c r="I28" s="19" t="s">
        <v>206</v>
      </c>
      <c r="J28" s="28">
        <f t="shared" ca="1" si="0"/>
        <v>19</v>
      </c>
      <c r="K28" s="34" t="s">
        <v>206</v>
      </c>
    </row>
    <row r="29" spans="1:11" x14ac:dyDescent="0.35">
      <c r="A29" s="19" t="s">
        <v>36</v>
      </c>
      <c r="B29" s="19" t="s">
        <v>160</v>
      </c>
      <c r="C29" s="19" t="s">
        <v>169</v>
      </c>
      <c r="D29" s="19" t="s">
        <v>344</v>
      </c>
      <c r="E29" s="37">
        <v>41448</v>
      </c>
      <c r="F29" s="20">
        <v>42197</v>
      </c>
      <c r="G29" s="19">
        <v>3</v>
      </c>
      <c r="H29" s="19" t="s">
        <v>179</v>
      </c>
      <c r="I29" s="19" t="s">
        <v>207</v>
      </c>
      <c r="J29" s="28">
        <f t="shared" ca="1" si="0"/>
        <v>12</v>
      </c>
      <c r="K29" s="34" t="s">
        <v>207</v>
      </c>
    </row>
    <row r="30" spans="1:11" x14ac:dyDescent="0.35">
      <c r="A30" s="19" t="s">
        <v>37</v>
      </c>
      <c r="B30" s="19" t="s">
        <v>161</v>
      </c>
      <c r="C30" s="19" t="s">
        <v>167</v>
      </c>
      <c r="D30" s="19" t="s">
        <v>344</v>
      </c>
      <c r="E30" s="37">
        <v>49282</v>
      </c>
      <c r="F30" s="20">
        <v>42204</v>
      </c>
      <c r="G30" s="19">
        <v>2</v>
      </c>
      <c r="H30" s="19" t="s">
        <v>181</v>
      </c>
      <c r="I30" s="19" t="s">
        <v>208</v>
      </c>
      <c r="J30" s="28">
        <f t="shared" ca="1" si="0"/>
        <v>5</v>
      </c>
      <c r="K30" s="34" t="s">
        <v>208</v>
      </c>
    </row>
    <row r="31" spans="1:11" x14ac:dyDescent="0.35">
      <c r="A31" s="19" t="s">
        <v>38</v>
      </c>
      <c r="B31" s="19" t="s">
        <v>165</v>
      </c>
      <c r="C31" s="19" t="s">
        <v>337</v>
      </c>
      <c r="D31" s="19" t="s">
        <v>344</v>
      </c>
      <c r="E31" s="37">
        <v>92959</v>
      </c>
      <c r="F31" s="20">
        <v>42211</v>
      </c>
      <c r="G31" s="19">
        <v>5</v>
      </c>
      <c r="H31" s="19" t="s">
        <v>178</v>
      </c>
      <c r="I31" s="19" t="s">
        <v>209</v>
      </c>
      <c r="J31" s="28">
        <f t="shared" ca="1" si="0"/>
        <v>29</v>
      </c>
      <c r="K31" s="34" t="s">
        <v>209</v>
      </c>
    </row>
    <row r="32" spans="1:11" x14ac:dyDescent="0.35">
      <c r="A32" s="19" t="s">
        <v>39</v>
      </c>
      <c r="B32" s="19" t="s">
        <v>178</v>
      </c>
      <c r="C32" s="19" t="s">
        <v>337</v>
      </c>
      <c r="D32" s="19" t="s">
        <v>340</v>
      </c>
      <c r="E32" s="37">
        <v>92259</v>
      </c>
      <c r="F32" s="20" t="s">
        <v>178</v>
      </c>
      <c r="G32" s="19">
        <v>1</v>
      </c>
      <c r="H32" s="19" t="s">
        <v>178</v>
      </c>
      <c r="I32" s="19" t="s">
        <v>210</v>
      </c>
      <c r="J32" s="28">
        <f t="shared" ca="1" si="0"/>
        <v>0</v>
      </c>
      <c r="K32" s="34" t="s">
        <v>210</v>
      </c>
    </row>
    <row r="33" spans="1:11" x14ac:dyDescent="0.35">
      <c r="A33" s="19" t="s">
        <v>40</v>
      </c>
      <c r="B33" s="19" t="s">
        <v>159</v>
      </c>
      <c r="C33" s="19" t="s">
        <v>167</v>
      </c>
      <c r="D33" s="19" t="s">
        <v>341</v>
      </c>
      <c r="E33" s="37">
        <v>92299</v>
      </c>
      <c r="F33" s="20">
        <v>42225</v>
      </c>
      <c r="G33" s="19">
        <v>3</v>
      </c>
      <c r="H33" s="19" t="s">
        <v>180</v>
      </c>
      <c r="I33" s="19" t="s">
        <v>211</v>
      </c>
      <c r="J33" s="28">
        <f t="shared" ca="1" si="0"/>
        <v>15</v>
      </c>
      <c r="K33" s="34" t="s">
        <v>211</v>
      </c>
    </row>
    <row r="34" spans="1:11" x14ac:dyDescent="0.35">
      <c r="A34" s="19" t="s">
        <v>41</v>
      </c>
      <c r="B34" s="19" t="s">
        <v>163</v>
      </c>
      <c r="C34" s="19" t="s">
        <v>167</v>
      </c>
      <c r="D34" s="19" t="s">
        <v>340</v>
      </c>
      <c r="E34" s="37">
        <v>95586</v>
      </c>
      <c r="F34" s="20">
        <v>42232</v>
      </c>
      <c r="G34" s="19">
        <v>3</v>
      </c>
      <c r="H34" s="19" t="s">
        <v>179</v>
      </c>
      <c r="I34" s="19" t="s">
        <v>212</v>
      </c>
      <c r="J34" s="28">
        <f t="shared" ca="1" si="0"/>
        <v>8</v>
      </c>
      <c r="K34" s="34" t="s">
        <v>212</v>
      </c>
    </row>
    <row r="35" spans="1:11" x14ac:dyDescent="0.35">
      <c r="A35" s="19" t="s">
        <v>42</v>
      </c>
      <c r="B35" s="19" t="s">
        <v>164</v>
      </c>
      <c r="C35" s="19" t="s">
        <v>338</v>
      </c>
      <c r="D35" s="19" t="s">
        <v>342</v>
      </c>
      <c r="E35" s="37">
        <v>95367</v>
      </c>
      <c r="F35" s="20">
        <v>42239</v>
      </c>
      <c r="G35" s="19">
        <v>3</v>
      </c>
      <c r="H35" s="19" t="s">
        <v>180</v>
      </c>
      <c r="I35" s="19" t="s">
        <v>213</v>
      </c>
      <c r="J35" s="28">
        <f t="shared" ca="1" si="0"/>
        <v>1</v>
      </c>
      <c r="K35" s="34" t="s">
        <v>213</v>
      </c>
    </row>
    <row r="36" spans="1:11" x14ac:dyDescent="0.35">
      <c r="A36" s="19" t="s">
        <v>43</v>
      </c>
      <c r="B36" s="19" t="s">
        <v>161</v>
      </c>
      <c r="C36" s="19" t="s">
        <v>336</v>
      </c>
      <c r="D36" s="19" t="s">
        <v>345</v>
      </c>
      <c r="E36" s="37">
        <v>79549</v>
      </c>
      <c r="F36" s="20">
        <v>42246</v>
      </c>
      <c r="G36" s="19">
        <v>3</v>
      </c>
      <c r="H36" s="19" t="s">
        <v>178</v>
      </c>
      <c r="I36" s="19" t="s">
        <v>214</v>
      </c>
      <c r="J36" s="28">
        <f t="shared" ca="1" si="0"/>
        <v>25</v>
      </c>
      <c r="K36" s="34" t="s">
        <v>214</v>
      </c>
    </row>
    <row r="37" spans="1:11" x14ac:dyDescent="0.35">
      <c r="A37" s="19" t="s">
        <v>44</v>
      </c>
      <c r="B37" s="19" t="s">
        <v>160</v>
      </c>
      <c r="C37" s="19" t="s">
        <v>338</v>
      </c>
      <c r="D37" s="19" t="s">
        <v>344</v>
      </c>
      <c r="E37" s="37">
        <v>54463</v>
      </c>
      <c r="F37" s="20">
        <v>42253</v>
      </c>
      <c r="G37" s="19">
        <v>4</v>
      </c>
      <c r="H37" s="19" t="s">
        <v>180</v>
      </c>
      <c r="I37" s="19" t="s">
        <v>182</v>
      </c>
      <c r="J37" s="28">
        <f t="shared" ca="1" si="0"/>
        <v>18</v>
      </c>
      <c r="K37" s="34" t="s">
        <v>340</v>
      </c>
    </row>
    <row r="38" spans="1:11" x14ac:dyDescent="0.35">
      <c r="A38" s="19" t="s">
        <v>45</v>
      </c>
      <c r="B38" s="19" t="s">
        <v>160</v>
      </c>
      <c r="C38" s="19" t="s">
        <v>169</v>
      </c>
      <c r="D38" s="19" t="s">
        <v>342</v>
      </c>
      <c r="E38" s="37">
        <v>89781</v>
      </c>
      <c r="F38" s="20">
        <v>42260</v>
      </c>
      <c r="G38" s="19">
        <v>3</v>
      </c>
      <c r="H38" s="19" t="s">
        <v>181</v>
      </c>
      <c r="I38" s="19" t="s">
        <v>215</v>
      </c>
      <c r="J38" s="28">
        <f t="shared" ca="1" si="0"/>
        <v>11</v>
      </c>
      <c r="K38" s="34" t="s">
        <v>215</v>
      </c>
    </row>
    <row r="39" spans="1:11" x14ac:dyDescent="0.35">
      <c r="A39" s="19" t="s">
        <v>46</v>
      </c>
      <c r="B39" s="19" t="s">
        <v>160</v>
      </c>
      <c r="C39" s="19" t="s">
        <v>167</v>
      </c>
      <c r="D39" s="19" t="s">
        <v>340</v>
      </c>
      <c r="E39" s="37">
        <v>64796</v>
      </c>
      <c r="F39" s="20">
        <v>42267</v>
      </c>
      <c r="G39" s="19">
        <v>3</v>
      </c>
      <c r="H39" s="19" t="s">
        <v>179</v>
      </c>
      <c r="I39" s="19" t="s">
        <v>216</v>
      </c>
      <c r="J39" s="28">
        <f t="shared" ca="1" si="0"/>
        <v>4</v>
      </c>
      <c r="K39" s="34" t="s">
        <v>216</v>
      </c>
    </row>
    <row r="40" spans="1:11" x14ac:dyDescent="0.35">
      <c r="A40" s="19" t="s">
        <v>47</v>
      </c>
      <c r="B40" s="19" t="s">
        <v>161</v>
      </c>
      <c r="C40" s="19" t="s">
        <v>337</v>
      </c>
      <c r="D40" s="19" t="s">
        <v>344</v>
      </c>
      <c r="E40" s="37">
        <v>52093</v>
      </c>
      <c r="F40" s="20">
        <v>42274</v>
      </c>
      <c r="G40" s="19">
        <v>5</v>
      </c>
      <c r="H40" s="19" t="s">
        <v>178</v>
      </c>
      <c r="I40" s="19" t="s">
        <v>217</v>
      </c>
      <c r="J40" s="28">
        <f t="shared" ca="1" si="0"/>
        <v>28</v>
      </c>
      <c r="K40" s="34" t="s">
        <v>217</v>
      </c>
    </row>
    <row r="41" spans="1:11" x14ac:dyDescent="0.35">
      <c r="A41" s="19" t="s">
        <v>48</v>
      </c>
      <c r="B41" s="19" t="s">
        <v>164</v>
      </c>
      <c r="C41" s="19" t="s">
        <v>167</v>
      </c>
      <c r="D41" s="19" t="s">
        <v>344</v>
      </c>
      <c r="E41" s="37">
        <v>48224</v>
      </c>
      <c r="F41" s="20">
        <v>42281</v>
      </c>
      <c r="G41" s="19">
        <v>3</v>
      </c>
      <c r="H41" s="19" t="s">
        <v>178</v>
      </c>
      <c r="I41" s="19" t="s">
        <v>218</v>
      </c>
      <c r="J41" s="28">
        <f t="shared" ca="1" si="0"/>
        <v>20</v>
      </c>
      <c r="K41" s="34" t="s">
        <v>218</v>
      </c>
    </row>
    <row r="42" spans="1:11" x14ac:dyDescent="0.35">
      <c r="A42" s="19" t="s">
        <v>49</v>
      </c>
      <c r="B42" s="19" t="s">
        <v>165</v>
      </c>
      <c r="C42" s="19" t="s">
        <v>335</v>
      </c>
      <c r="D42" s="19" t="s">
        <v>344</v>
      </c>
      <c r="E42" s="37">
        <v>65605</v>
      </c>
      <c r="F42" s="20" t="s">
        <v>178</v>
      </c>
      <c r="G42" s="19">
        <v>4</v>
      </c>
      <c r="H42" s="19" t="s">
        <v>181</v>
      </c>
      <c r="I42" s="19" t="s">
        <v>219</v>
      </c>
      <c r="J42" s="28">
        <f t="shared" ca="1" si="0"/>
        <v>0</v>
      </c>
      <c r="K42" s="34" t="s">
        <v>219</v>
      </c>
    </row>
    <row r="43" spans="1:11" x14ac:dyDescent="0.35">
      <c r="A43" s="19" t="s">
        <v>50</v>
      </c>
      <c r="B43" s="19" t="s">
        <v>160</v>
      </c>
      <c r="C43" s="19" t="s">
        <v>169</v>
      </c>
      <c r="D43" s="19" t="s">
        <v>341</v>
      </c>
      <c r="E43" s="37">
        <v>33956</v>
      </c>
      <c r="F43" s="20">
        <v>42295</v>
      </c>
      <c r="G43" s="19">
        <v>3</v>
      </c>
      <c r="H43" s="19" t="s">
        <v>178</v>
      </c>
      <c r="I43" s="19" t="s">
        <v>220</v>
      </c>
      <c r="J43" s="28">
        <f t="shared" ca="1" si="0"/>
        <v>6</v>
      </c>
      <c r="K43" s="34" t="s">
        <v>220</v>
      </c>
    </row>
    <row r="44" spans="1:11" x14ac:dyDescent="0.35">
      <c r="A44" s="19" t="s">
        <v>51</v>
      </c>
      <c r="B44" s="19" t="s">
        <v>165</v>
      </c>
      <c r="C44" s="19" t="s">
        <v>338</v>
      </c>
      <c r="D44" s="19" t="s">
        <v>345</v>
      </c>
      <c r="E44" s="37">
        <v>64913</v>
      </c>
      <c r="F44" s="20">
        <v>42302</v>
      </c>
      <c r="G44" s="19">
        <v>1</v>
      </c>
      <c r="H44" s="19" t="s">
        <v>181</v>
      </c>
      <c r="I44" s="19" t="s">
        <v>221</v>
      </c>
      <c r="J44" s="28">
        <f t="shared" ca="1" si="0"/>
        <v>30</v>
      </c>
      <c r="K44" s="34" t="s">
        <v>221</v>
      </c>
    </row>
    <row r="45" spans="1:11" x14ac:dyDescent="0.35">
      <c r="A45" s="19" t="s">
        <v>52</v>
      </c>
      <c r="B45" s="19" t="s">
        <v>160</v>
      </c>
      <c r="C45" s="19" t="s">
        <v>337</v>
      </c>
      <c r="D45" s="19" t="s">
        <v>345</v>
      </c>
      <c r="E45" s="37">
        <v>35326</v>
      </c>
      <c r="F45" s="20">
        <v>42309</v>
      </c>
      <c r="G45" s="19">
        <v>3</v>
      </c>
      <c r="H45" s="19" t="s">
        <v>181</v>
      </c>
      <c r="I45" s="19" t="s">
        <v>222</v>
      </c>
      <c r="J45" s="28">
        <f t="shared" ca="1" si="0"/>
        <v>23</v>
      </c>
      <c r="K45" s="34" t="s">
        <v>222</v>
      </c>
    </row>
    <row r="46" spans="1:11" x14ac:dyDescent="0.35">
      <c r="A46" s="19" t="s">
        <v>53</v>
      </c>
      <c r="B46" s="19" t="s">
        <v>164</v>
      </c>
      <c r="C46" s="19" t="s">
        <v>335</v>
      </c>
      <c r="D46" s="19" t="s">
        <v>340</v>
      </c>
      <c r="E46" s="37">
        <v>81610</v>
      </c>
      <c r="F46" s="20">
        <v>42316</v>
      </c>
      <c r="G46" s="19">
        <v>1</v>
      </c>
      <c r="H46" s="19" t="s">
        <v>178</v>
      </c>
      <c r="I46" s="19" t="s">
        <v>223</v>
      </c>
      <c r="J46" s="28">
        <f t="shared" ca="1" si="0"/>
        <v>16</v>
      </c>
      <c r="K46" s="34" t="s">
        <v>223</v>
      </c>
    </row>
    <row r="47" spans="1:11" x14ac:dyDescent="0.35">
      <c r="A47" s="19" t="s">
        <v>54</v>
      </c>
      <c r="B47" s="19" t="s">
        <v>178</v>
      </c>
      <c r="C47" s="19" t="s">
        <v>167</v>
      </c>
      <c r="D47" s="19" t="s">
        <v>340</v>
      </c>
      <c r="E47" s="37">
        <v>58962</v>
      </c>
      <c r="F47" s="20">
        <v>42323</v>
      </c>
      <c r="G47" s="19">
        <v>3</v>
      </c>
      <c r="H47" s="19" t="s">
        <v>179</v>
      </c>
      <c r="I47" s="19" t="s">
        <v>183</v>
      </c>
      <c r="J47" s="28">
        <f t="shared" ca="1" si="0"/>
        <v>9</v>
      </c>
      <c r="K47" s="34" t="s">
        <v>183</v>
      </c>
    </row>
    <row r="48" spans="1:11" x14ac:dyDescent="0.35">
      <c r="A48" s="19" t="s">
        <v>55</v>
      </c>
      <c r="B48" s="19" t="s">
        <v>164</v>
      </c>
      <c r="C48" s="19" t="s">
        <v>169</v>
      </c>
      <c r="D48" s="19" t="s">
        <v>341</v>
      </c>
      <c r="E48" s="37">
        <v>92701</v>
      </c>
      <c r="F48" s="20">
        <v>42330</v>
      </c>
      <c r="G48" s="19">
        <v>3</v>
      </c>
      <c r="H48" s="19" t="s">
        <v>179</v>
      </c>
      <c r="I48" s="19" t="s">
        <v>224</v>
      </c>
      <c r="J48" s="28">
        <f t="shared" ca="1" si="0"/>
        <v>2</v>
      </c>
      <c r="K48" s="34" t="s">
        <v>224</v>
      </c>
    </row>
    <row r="49" spans="1:11" x14ac:dyDescent="0.35">
      <c r="A49" s="19" t="s">
        <v>56</v>
      </c>
      <c r="B49" s="19" t="s">
        <v>164</v>
      </c>
      <c r="C49" s="19" t="s">
        <v>167</v>
      </c>
      <c r="D49" s="19" t="s">
        <v>343</v>
      </c>
      <c r="E49" s="37">
        <v>58245</v>
      </c>
      <c r="F49" s="20">
        <v>42337</v>
      </c>
      <c r="G49" s="19">
        <v>4</v>
      </c>
      <c r="H49" s="19" t="s">
        <v>178</v>
      </c>
      <c r="I49" s="19" t="s">
        <v>225</v>
      </c>
      <c r="J49" s="28">
        <f t="shared" ca="1" si="0"/>
        <v>26</v>
      </c>
      <c r="K49" s="34" t="s">
        <v>225</v>
      </c>
    </row>
    <row r="50" spans="1:11" x14ac:dyDescent="0.35">
      <c r="A50" s="19" t="s">
        <v>57</v>
      </c>
      <c r="B50" s="19" t="s">
        <v>161</v>
      </c>
      <c r="C50" s="19" t="s">
        <v>335</v>
      </c>
      <c r="D50" s="19" t="s">
        <v>340</v>
      </c>
      <c r="E50" s="37">
        <v>66513</v>
      </c>
      <c r="F50" s="20">
        <v>42344</v>
      </c>
      <c r="G50" s="19">
        <v>2</v>
      </c>
      <c r="H50" s="19" t="s">
        <v>179</v>
      </c>
      <c r="I50" s="19" t="s">
        <v>187</v>
      </c>
      <c r="J50" s="28">
        <f t="shared" ca="1" si="0"/>
        <v>18</v>
      </c>
      <c r="K50" s="34" t="s">
        <v>187</v>
      </c>
    </row>
    <row r="51" spans="1:11" x14ac:dyDescent="0.35">
      <c r="A51" s="19" t="s">
        <v>58</v>
      </c>
      <c r="B51" s="19" t="s">
        <v>159</v>
      </c>
      <c r="C51" s="19" t="s">
        <v>167</v>
      </c>
      <c r="D51" s="19" t="s">
        <v>341</v>
      </c>
      <c r="E51" s="37">
        <v>78720</v>
      </c>
      <c r="F51" s="20">
        <v>42351</v>
      </c>
      <c r="G51" s="19">
        <v>5</v>
      </c>
      <c r="H51" s="19" t="s">
        <v>181</v>
      </c>
      <c r="I51" s="19" t="s">
        <v>219</v>
      </c>
      <c r="J51" s="28">
        <f t="shared" ca="1" si="0"/>
        <v>11</v>
      </c>
      <c r="K51" s="34" t="s">
        <v>219</v>
      </c>
    </row>
    <row r="52" spans="1:11" x14ac:dyDescent="0.35">
      <c r="A52" s="19" t="s">
        <v>59</v>
      </c>
      <c r="B52" s="19" t="s">
        <v>164</v>
      </c>
      <c r="C52" s="19" t="s">
        <v>338</v>
      </c>
      <c r="D52" s="19" t="s">
        <v>340</v>
      </c>
      <c r="E52" s="37">
        <v>30686</v>
      </c>
      <c r="F52" s="20" t="s">
        <v>178</v>
      </c>
      <c r="G52" s="19">
        <v>2</v>
      </c>
      <c r="H52" s="19" t="s">
        <v>181</v>
      </c>
      <c r="I52" s="19" t="s">
        <v>226</v>
      </c>
      <c r="J52" s="28">
        <f t="shared" ca="1" si="0"/>
        <v>0</v>
      </c>
      <c r="K52" s="34" t="s">
        <v>226</v>
      </c>
    </row>
    <row r="53" spans="1:11" x14ac:dyDescent="0.35">
      <c r="A53" s="19" t="s">
        <v>60</v>
      </c>
      <c r="B53" s="19" t="s">
        <v>163</v>
      </c>
      <c r="C53" s="19" t="s">
        <v>336</v>
      </c>
      <c r="D53" s="19" t="s">
        <v>343</v>
      </c>
      <c r="E53" s="37">
        <v>39423</v>
      </c>
      <c r="F53" s="20">
        <v>42365</v>
      </c>
      <c r="G53" s="19">
        <v>5</v>
      </c>
      <c r="H53" s="19" t="s">
        <v>178</v>
      </c>
      <c r="I53" s="19" t="s">
        <v>227</v>
      </c>
      <c r="J53" s="28">
        <f t="shared" ca="1" si="0"/>
        <v>28</v>
      </c>
      <c r="K53" s="34" t="s">
        <v>227</v>
      </c>
    </row>
    <row r="54" spans="1:11" x14ac:dyDescent="0.35">
      <c r="A54" s="19" t="s">
        <v>61</v>
      </c>
      <c r="B54" s="19" t="s">
        <v>159</v>
      </c>
      <c r="C54" s="19" t="s">
        <v>337</v>
      </c>
      <c r="D54" s="19" t="s">
        <v>340</v>
      </c>
      <c r="E54" s="37">
        <v>30280</v>
      </c>
      <c r="F54" s="20">
        <v>42372</v>
      </c>
      <c r="G54" s="19">
        <v>1</v>
      </c>
      <c r="H54" s="19" t="s">
        <v>178</v>
      </c>
      <c r="I54" s="19" t="s">
        <v>228</v>
      </c>
      <c r="J54" s="28">
        <f t="shared" ca="1" si="0"/>
        <v>21</v>
      </c>
      <c r="K54" s="34" t="s">
        <v>228</v>
      </c>
    </row>
    <row r="55" spans="1:11" x14ac:dyDescent="0.35">
      <c r="A55" s="19" t="s">
        <v>62</v>
      </c>
      <c r="B55" s="19" t="s">
        <v>159</v>
      </c>
      <c r="C55" s="19" t="s">
        <v>335</v>
      </c>
      <c r="D55" s="19" t="s">
        <v>344</v>
      </c>
      <c r="E55" s="37">
        <v>33352</v>
      </c>
      <c r="F55" s="20">
        <v>42379</v>
      </c>
      <c r="G55" s="19">
        <v>3</v>
      </c>
      <c r="H55" s="19" t="s">
        <v>181</v>
      </c>
      <c r="I55" s="19" t="s">
        <v>200</v>
      </c>
      <c r="J55" s="28">
        <f t="shared" ca="1" si="0"/>
        <v>14</v>
      </c>
      <c r="K55" s="34" t="s">
        <v>200</v>
      </c>
    </row>
    <row r="56" spans="1:11" x14ac:dyDescent="0.35">
      <c r="A56" s="19" t="s">
        <v>63</v>
      </c>
      <c r="B56" s="19" t="s">
        <v>165</v>
      </c>
      <c r="C56" s="19" t="s">
        <v>337</v>
      </c>
      <c r="D56" s="19" t="s">
        <v>344</v>
      </c>
      <c r="E56" s="37">
        <v>75633</v>
      </c>
      <c r="F56" s="20">
        <v>42386</v>
      </c>
      <c r="G56" s="19">
        <v>5</v>
      </c>
      <c r="H56" s="19" t="s">
        <v>179</v>
      </c>
      <c r="I56" s="19" t="s">
        <v>229</v>
      </c>
      <c r="J56" s="28">
        <f t="shared" ca="1" si="0"/>
        <v>7</v>
      </c>
      <c r="K56" s="34" t="s">
        <v>229</v>
      </c>
    </row>
    <row r="57" spans="1:11" x14ac:dyDescent="0.35">
      <c r="A57" s="19" t="s">
        <v>64</v>
      </c>
      <c r="B57" s="19" t="s">
        <v>164</v>
      </c>
      <c r="C57" s="19" t="s">
        <v>338</v>
      </c>
      <c r="D57" s="19" t="s">
        <v>342</v>
      </c>
      <c r="E57" s="37">
        <v>74815</v>
      </c>
      <c r="F57" s="20">
        <v>42393</v>
      </c>
      <c r="G57" s="19">
        <v>5</v>
      </c>
      <c r="H57" s="19" t="s">
        <v>181</v>
      </c>
      <c r="I57" s="19" t="s">
        <v>230</v>
      </c>
      <c r="J57" s="28">
        <f t="shared" ca="1" si="0"/>
        <v>0</v>
      </c>
      <c r="K57" s="34" t="s">
        <v>230</v>
      </c>
    </row>
    <row r="58" spans="1:11" x14ac:dyDescent="0.35">
      <c r="A58" s="19" t="s">
        <v>65</v>
      </c>
      <c r="B58" s="19" t="s">
        <v>161</v>
      </c>
      <c r="C58" s="19" t="s">
        <v>336</v>
      </c>
      <c r="D58" s="19" t="s">
        <v>345</v>
      </c>
      <c r="E58" s="37">
        <v>60011</v>
      </c>
      <c r="F58" s="20">
        <v>42400</v>
      </c>
      <c r="G58" s="19">
        <v>1</v>
      </c>
      <c r="H58" s="19" t="s">
        <v>180</v>
      </c>
      <c r="I58" s="19" t="s">
        <v>231</v>
      </c>
      <c r="J58" s="28">
        <f t="shared" ca="1" si="0"/>
        <v>24</v>
      </c>
      <c r="K58" s="34" t="s">
        <v>231</v>
      </c>
    </row>
    <row r="59" spans="1:11" x14ac:dyDescent="0.35">
      <c r="A59" s="19" t="s">
        <v>66</v>
      </c>
      <c r="B59" s="19" t="s">
        <v>159</v>
      </c>
      <c r="C59" s="19" t="s">
        <v>338</v>
      </c>
      <c r="D59" s="19" t="s">
        <v>343</v>
      </c>
      <c r="E59" s="37">
        <v>96949</v>
      </c>
      <c r="F59" s="20">
        <v>42407</v>
      </c>
      <c r="G59" s="19">
        <v>3</v>
      </c>
      <c r="H59" s="19" t="s">
        <v>178</v>
      </c>
      <c r="I59" s="19" t="s">
        <v>207</v>
      </c>
      <c r="J59" s="28">
        <f t="shared" ca="1" si="0"/>
        <v>17</v>
      </c>
      <c r="K59" s="34" t="s">
        <v>207</v>
      </c>
    </row>
    <row r="60" spans="1:11" x14ac:dyDescent="0.35">
      <c r="A60" s="19" t="s">
        <v>67</v>
      </c>
      <c r="B60" s="19" t="s">
        <v>163</v>
      </c>
      <c r="C60" s="19" t="s">
        <v>337</v>
      </c>
      <c r="D60" s="19" t="s">
        <v>340</v>
      </c>
      <c r="E60" s="37">
        <v>84924</v>
      </c>
      <c r="F60" s="20">
        <v>42414</v>
      </c>
      <c r="G60" s="19">
        <v>5</v>
      </c>
      <c r="H60" s="19" t="s">
        <v>180</v>
      </c>
      <c r="I60" s="19" t="s">
        <v>232</v>
      </c>
      <c r="J60" s="28">
        <f t="shared" ca="1" si="0"/>
        <v>10</v>
      </c>
      <c r="K60" s="34" t="s">
        <v>232</v>
      </c>
    </row>
    <row r="61" spans="1:11" x14ac:dyDescent="0.35">
      <c r="A61" s="19" t="s">
        <v>68</v>
      </c>
      <c r="B61" s="19" t="s">
        <v>163</v>
      </c>
      <c r="C61" s="19" t="s">
        <v>335</v>
      </c>
      <c r="D61" s="19" t="s">
        <v>342</v>
      </c>
      <c r="E61" s="37">
        <v>82033</v>
      </c>
      <c r="F61" s="20">
        <v>42421</v>
      </c>
      <c r="G61" s="19">
        <v>1</v>
      </c>
      <c r="H61" s="19" t="s">
        <v>178</v>
      </c>
      <c r="I61" s="19" t="s">
        <v>223</v>
      </c>
      <c r="J61" s="28">
        <f t="shared" ca="1" si="0"/>
        <v>3</v>
      </c>
      <c r="K61" s="34" t="s">
        <v>223</v>
      </c>
    </row>
    <row r="62" spans="1:11" x14ac:dyDescent="0.35">
      <c r="A62" s="19" t="s">
        <v>69</v>
      </c>
      <c r="B62" s="19" t="s">
        <v>178</v>
      </c>
      <c r="C62" s="19" t="s">
        <v>337</v>
      </c>
      <c r="D62" s="19" t="s">
        <v>341</v>
      </c>
      <c r="E62" s="37">
        <v>63687</v>
      </c>
      <c r="F62" s="20" t="s">
        <v>178</v>
      </c>
      <c r="G62" s="19">
        <v>5</v>
      </c>
      <c r="H62" s="19" t="s">
        <v>178</v>
      </c>
      <c r="I62" s="19" t="s">
        <v>233</v>
      </c>
      <c r="J62" s="28">
        <f t="shared" ca="1" si="0"/>
        <v>0</v>
      </c>
      <c r="K62" s="34" t="s">
        <v>233</v>
      </c>
    </row>
    <row r="63" spans="1:11" x14ac:dyDescent="0.35">
      <c r="A63" s="19" t="s">
        <v>70</v>
      </c>
      <c r="B63" s="19" t="s">
        <v>159</v>
      </c>
      <c r="C63" s="19" t="s">
        <v>338</v>
      </c>
      <c r="D63" s="19" t="s">
        <v>345</v>
      </c>
      <c r="E63" s="37">
        <v>31499</v>
      </c>
      <c r="F63" s="20">
        <v>42435</v>
      </c>
      <c r="G63" s="19">
        <v>2</v>
      </c>
      <c r="H63" s="19" t="s">
        <v>178</v>
      </c>
      <c r="I63" s="19" t="s">
        <v>215</v>
      </c>
      <c r="J63" s="28">
        <f t="shared" ca="1" si="0"/>
        <v>18</v>
      </c>
      <c r="K63" s="34" t="s">
        <v>215</v>
      </c>
    </row>
    <row r="64" spans="1:11" x14ac:dyDescent="0.35">
      <c r="A64" s="19" t="s">
        <v>71</v>
      </c>
      <c r="B64" s="19" t="s">
        <v>164</v>
      </c>
      <c r="C64" s="19" t="s">
        <v>169</v>
      </c>
      <c r="D64" s="19" t="s">
        <v>344</v>
      </c>
      <c r="E64" s="37">
        <v>97981</v>
      </c>
      <c r="F64" s="20">
        <v>42442</v>
      </c>
      <c r="G64" s="19">
        <v>5</v>
      </c>
      <c r="H64" s="19" t="s">
        <v>181</v>
      </c>
      <c r="I64" s="19" t="s">
        <v>234</v>
      </c>
      <c r="J64" s="28">
        <f t="shared" ca="1" si="0"/>
        <v>11</v>
      </c>
      <c r="K64" s="34" t="s">
        <v>234</v>
      </c>
    </row>
    <row r="65" spans="1:11" x14ac:dyDescent="0.35">
      <c r="A65" s="19" t="s">
        <v>72</v>
      </c>
      <c r="B65" s="19" t="s">
        <v>159</v>
      </c>
      <c r="C65" s="19" t="s">
        <v>167</v>
      </c>
      <c r="D65" s="19" t="s">
        <v>342</v>
      </c>
      <c r="E65" s="37">
        <v>36541</v>
      </c>
      <c r="F65" s="20">
        <v>42449</v>
      </c>
      <c r="G65" s="19">
        <v>2</v>
      </c>
      <c r="H65" s="19" t="s">
        <v>179</v>
      </c>
      <c r="I65" s="19" t="s">
        <v>235</v>
      </c>
      <c r="J65" s="28">
        <f t="shared" ca="1" si="0"/>
        <v>4</v>
      </c>
      <c r="K65" s="34" t="s">
        <v>235</v>
      </c>
    </row>
    <row r="66" spans="1:11" x14ac:dyDescent="0.35">
      <c r="A66" s="19" t="s">
        <v>73</v>
      </c>
      <c r="B66" s="19" t="s">
        <v>161</v>
      </c>
      <c r="C66" s="19" t="s">
        <v>169</v>
      </c>
      <c r="D66" s="19" t="s">
        <v>343</v>
      </c>
      <c r="E66" s="37">
        <v>84737</v>
      </c>
      <c r="F66" s="20">
        <v>42456</v>
      </c>
      <c r="G66" s="19">
        <v>1</v>
      </c>
      <c r="H66" s="19" t="s">
        <v>180</v>
      </c>
      <c r="I66" s="19" t="s">
        <v>236</v>
      </c>
      <c r="J66" s="28">
        <f t="shared" ca="1" si="0"/>
        <v>28</v>
      </c>
      <c r="K66" s="34" t="s">
        <v>236</v>
      </c>
    </row>
    <row r="67" spans="1:11" x14ac:dyDescent="0.35">
      <c r="A67" s="19" t="s">
        <v>74</v>
      </c>
      <c r="B67" s="19" t="s">
        <v>163</v>
      </c>
      <c r="C67" s="19" t="s">
        <v>335</v>
      </c>
      <c r="D67" s="19" t="s">
        <v>343</v>
      </c>
      <c r="E67" s="37">
        <v>33468</v>
      </c>
      <c r="F67" s="20">
        <v>42463</v>
      </c>
      <c r="G67" s="19">
        <v>4</v>
      </c>
      <c r="H67" s="19" t="s">
        <v>180</v>
      </c>
      <c r="I67" s="19" t="s">
        <v>237</v>
      </c>
      <c r="J67" s="28">
        <f t="shared" ca="1" si="0"/>
        <v>21</v>
      </c>
      <c r="K67" s="34" t="s">
        <v>237</v>
      </c>
    </row>
    <row r="68" spans="1:11" x14ac:dyDescent="0.35">
      <c r="A68" s="19" t="s">
        <v>75</v>
      </c>
      <c r="B68" s="19" t="s">
        <v>163</v>
      </c>
      <c r="C68" s="19" t="s">
        <v>338</v>
      </c>
      <c r="D68" s="19" t="s">
        <v>345</v>
      </c>
      <c r="E68" s="37">
        <v>96365</v>
      </c>
      <c r="F68" s="20">
        <v>42470</v>
      </c>
      <c r="G68" s="19">
        <v>3</v>
      </c>
      <c r="H68" s="19" t="s">
        <v>179</v>
      </c>
      <c r="I68" s="19" t="s">
        <v>238</v>
      </c>
      <c r="J68" s="28">
        <f t="shared" ref="J68:J131" ca="1" si="1">IF(F68="Unknown",0,DATEDIF(F68, TODAY(), "MD"))</f>
        <v>14</v>
      </c>
      <c r="K68" s="34" t="s">
        <v>238</v>
      </c>
    </row>
    <row r="69" spans="1:11" x14ac:dyDescent="0.35">
      <c r="A69" s="19" t="s">
        <v>76</v>
      </c>
      <c r="B69" s="19" t="s">
        <v>160</v>
      </c>
      <c r="C69" s="19" t="s">
        <v>336</v>
      </c>
      <c r="D69" s="19" t="s">
        <v>343</v>
      </c>
      <c r="E69" s="37">
        <v>61942</v>
      </c>
      <c r="F69" s="20">
        <v>42477</v>
      </c>
      <c r="G69" s="19">
        <v>3</v>
      </c>
      <c r="H69" s="19" t="s">
        <v>181</v>
      </c>
      <c r="I69" s="19" t="s">
        <v>239</v>
      </c>
      <c r="J69" s="28">
        <f t="shared" ca="1" si="1"/>
        <v>7</v>
      </c>
      <c r="K69" s="34" t="s">
        <v>239</v>
      </c>
    </row>
    <row r="70" spans="1:11" x14ac:dyDescent="0.35">
      <c r="A70" s="19" t="s">
        <v>77</v>
      </c>
      <c r="B70" s="19" t="s">
        <v>163</v>
      </c>
      <c r="C70" s="19" t="s">
        <v>335</v>
      </c>
      <c r="D70" s="19" t="s">
        <v>344</v>
      </c>
      <c r="E70" s="37">
        <v>41467</v>
      </c>
      <c r="F70" s="20">
        <v>42484</v>
      </c>
      <c r="G70" s="19">
        <v>2</v>
      </c>
      <c r="H70" s="19" t="s">
        <v>178</v>
      </c>
      <c r="I70" s="19" t="s">
        <v>201</v>
      </c>
      <c r="J70" s="28">
        <f t="shared" ca="1" si="1"/>
        <v>0</v>
      </c>
      <c r="K70" s="34" t="s">
        <v>201</v>
      </c>
    </row>
    <row r="71" spans="1:11" x14ac:dyDescent="0.35">
      <c r="A71" s="19" t="s">
        <v>78</v>
      </c>
      <c r="B71" s="19" t="s">
        <v>165</v>
      </c>
      <c r="C71" s="19" t="s">
        <v>335</v>
      </c>
      <c r="D71" s="19" t="s">
        <v>343</v>
      </c>
      <c r="E71" s="37">
        <v>77096</v>
      </c>
      <c r="F71" s="20">
        <v>42491</v>
      </c>
      <c r="G71" s="19">
        <v>1</v>
      </c>
      <c r="H71" s="19" t="s">
        <v>178</v>
      </c>
      <c r="I71" s="19" t="s">
        <v>240</v>
      </c>
      <c r="J71" s="28">
        <f t="shared" ca="1" si="1"/>
        <v>23</v>
      </c>
      <c r="K71" s="34" t="s">
        <v>240</v>
      </c>
    </row>
    <row r="72" spans="1:11" x14ac:dyDescent="0.35">
      <c r="A72" s="19" t="s">
        <v>79</v>
      </c>
      <c r="B72" s="19" t="s">
        <v>159</v>
      </c>
      <c r="C72" s="19" t="s">
        <v>336</v>
      </c>
      <c r="D72" s="19" t="s">
        <v>345</v>
      </c>
      <c r="E72" s="37">
        <v>69952</v>
      </c>
      <c r="F72" s="20">
        <v>42498</v>
      </c>
      <c r="G72" s="19">
        <v>5</v>
      </c>
      <c r="H72" s="19" t="s">
        <v>181</v>
      </c>
      <c r="I72" s="19" t="s">
        <v>182</v>
      </c>
      <c r="J72" s="28">
        <f t="shared" ca="1" si="1"/>
        <v>16</v>
      </c>
      <c r="K72" s="34" t="s">
        <v>340</v>
      </c>
    </row>
    <row r="73" spans="1:11" x14ac:dyDescent="0.35">
      <c r="A73" s="19" t="s">
        <v>80</v>
      </c>
      <c r="B73" s="19" t="s">
        <v>159</v>
      </c>
      <c r="C73" s="19" t="s">
        <v>337</v>
      </c>
      <c r="D73" s="19" t="s">
        <v>342</v>
      </c>
      <c r="E73" s="37">
        <v>85065</v>
      </c>
      <c r="F73" s="20">
        <v>42505</v>
      </c>
      <c r="G73" s="19">
        <v>3</v>
      </c>
      <c r="H73" s="19" t="s">
        <v>178</v>
      </c>
      <c r="I73" s="19" t="s">
        <v>241</v>
      </c>
      <c r="J73" s="28">
        <f t="shared" ca="1" si="1"/>
        <v>9</v>
      </c>
      <c r="K73" s="34" t="s">
        <v>241</v>
      </c>
    </row>
    <row r="74" spans="1:11" x14ac:dyDescent="0.35">
      <c r="A74" s="19" t="s">
        <v>81</v>
      </c>
      <c r="B74" s="19" t="s">
        <v>165</v>
      </c>
      <c r="C74" s="19" t="s">
        <v>337</v>
      </c>
      <c r="D74" s="19" t="s">
        <v>343</v>
      </c>
      <c r="E74" s="37">
        <v>56512</v>
      </c>
      <c r="F74" s="20">
        <v>42512</v>
      </c>
      <c r="G74" s="19">
        <v>3</v>
      </c>
      <c r="H74" s="19" t="s">
        <v>179</v>
      </c>
      <c r="I74" s="19" t="s">
        <v>190</v>
      </c>
      <c r="J74" s="28">
        <f t="shared" ca="1" si="1"/>
        <v>2</v>
      </c>
      <c r="K74" s="34" t="s">
        <v>190</v>
      </c>
    </row>
    <row r="75" spans="1:11" x14ac:dyDescent="0.35">
      <c r="A75" s="19" t="s">
        <v>82</v>
      </c>
      <c r="B75" s="19" t="s">
        <v>161</v>
      </c>
      <c r="C75" s="19" t="s">
        <v>336</v>
      </c>
      <c r="D75" s="19" t="s">
        <v>343</v>
      </c>
      <c r="E75" s="37">
        <v>91101</v>
      </c>
      <c r="F75" s="20">
        <v>42519</v>
      </c>
      <c r="G75" s="19">
        <v>4</v>
      </c>
      <c r="H75" s="19" t="s">
        <v>181</v>
      </c>
      <c r="I75" s="19" t="s">
        <v>234</v>
      </c>
      <c r="J75" s="28">
        <f t="shared" ca="1" si="1"/>
        <v>26</v>
      </c>
      <c r="K75" s="34" t="s">
        <v>234</v>
      </c>
    </row>
    <row r="76" spans="1:11" x14ac:dyDescent="0.35">
      <c r="A76" s="19" t="s">
        <v>83</v>
      </c>
      <c r="B76" s="19" t="s">
        <v>163</v>
      </c>
      <c r="C76" s="19" t="s">
        <v>338</v>
      </c>
      <c r="D76" s="19" t="s">
        <v>341</v>
      </c>
      <c r="E76" s="37">
        <v>41243</v>
      </c>
      <c r="F76" s="20">
        <v>42526</v>
      </c>
      <c r="G76" s="19">
        <v>3</v>
      </c>
      <c r="H76" s="19" t="s">
        <v>178</v>
      </c>
      <c r="I76" s="19" t="s">
        <v>211</v>
      </c>
      <c r="J76" s="28">
        <f t="shared" ca="1" si="1"/>
        <v>19</v>
      </c>
      <c r="K76" s="34" t="s">
        <v>211</v>
      </c>
    </row>
    <row r="77" spans="1:11" x14ac:dyDescent="0.35">
      <c r="A77" s="19" t="s">
        <v>84</v>
      </c>
      <c r="B77" s="19" t="s">
        <v>178</v>
      </c>
      <c r="C77" s="19" t="s">
        <v>336</v>
      </c>
      <c r="D77" s="19" t="s">
        <v>340</v>
      </c>
      <c r="E77" s="37">
        <v>96142</v>
      </c>
      <c r="F77" s="20">
        <v>42533</v>
      </c>
      <c r="G77" s="19">
        <v>1</v>
      </c>
      <c r="H77" s="19" t="s">
        <v>179</v>
      </c>
      <c r="I77" s="19" t="s">
        <v>242</v>
      </c>
      <c r="J77" s="28">
        <f t="shared" ca="1" si="1"/>
        <v>12</v>
      </c>
      <c r="K77" s="34" t="s">
        <v>242</v>
      </c>
    </row>
    <row r="78" spans="1:11" x14ac:dyDescent="0.35">
      <c r="A78" s="19" t="s">
        <v>85</v>
      </c>
      <c r="B78" s="19" t="s">
        <v>159</v>
      </c>
      <c r="C78" s="19" t="s">
        <v>169</v>
      </c>
      <c r="D78" s="19" t="s">
        <v>343</v>
      </c>
      <c r="E78" s="37">
        <v>94301</v>
      </c>
      <c r="F78" s="20">
        <v>42540</v>
      </c>
      <c r="G78" s="19">
        <v>1</v>
      </c>
      <c r="H78" s="19" t="s">
        <v>180</v>
      </c>
      <c r="I78" s="19" t="s">
        <v>223</v>
      </c>
      <c r="J78" s="28">
        <f t="shared" ca="1" si="1"/>
        <v>5</v>
      </c>
      <c r="K78" s="34" t="s">
        <v>223</v>
      </c>
    </row>
    <row r="79" spans="1:11" x14ac:dyDescent="0.35">
      <c r="A79" s="19" t="s">
        <v>86</v>
      </c>
      <c r="B79" s="19" t="s">
        <v>162</v>
      </c>
      <c r="C79" s="19" t="s">
        <v>338</v>
      </c>
      <c r="D79" s="19" t="s">
        <v>344</v>
      </c>
      <c r="E79" s="37">
        <v>69166</v>
      </c>
      <c r="F79" s="20">
        <v>42547</v>
      </c>
      <c r="G79" s="19">
        <v>1</v>
      </c>
      <c r="H79" s="19" t="s">
        <v>181</v>
      </c>
      <c r="I79" s="19" t="s">
        <v>243</v>
      </c>
      <c r="J79" s="28">
        <f t="shared" ca="1" si="1"/>
        <v>29</v>
      </c>
      <c r="K79" s="34" t="s">
        <v>243</v>
      </c>
    </row>
    <row r="80" spans="1:11" x14ac:dyDescent="0.35">
      <c r="A80" s="19" t="s">
        <v>87</v>
      </c>
      <c r="B80" s="19" t="s">
        <v>163</v>
      </c>
      <c r="C80" s="19" t="s">
        <v>338</v>
      </c>
      <c r="D80" s="19" t="s">
        <v>344</v>
      </c>
      <c r="E80" s="37">
        <v>78245</v>
      </c>
      <c r="F80" s="20">
        <v>42554</v>
      </c>
      <c r="G80" s="19">
        <v>2</v>
      </c>
      <c r="H80" s="19" t="s">
        <v>178</v>
      </c>
      <c r="I80" s="19" t="s">
        <v>244</v>
      </c>
      <c r="J80" s="28">
        <f t="shared" ca="1" si="1"/>
        <v>21</v>
      </c>
      <c r="K80" s="34" t="s">
        <v>244</v>
      </c>
    </row>
    <row r="81" spans="1:11" x14ac:dyDescent="0.35">
      <c r="A81" s="19" t="s">
        <v>88</v>
      </c>
      <c r="B81" s="19" t="s">
        <v>164</v>
      </c>
      <c r="C81" s="19" t="s">
        <v>336</v>
      </c>
      <c r="D81" s="19" t="s">
        <v>342</v>
      </c>
      <c r="E81" s="37">
        <v>66079</v>
      </c>
      <c r="F81" s="20">
        <v>42561</v>
      </c>
      <c r="G81" s="19">
        <v>2</v>
      </c>
      <c r="H81" s="19" t="s">
        <v>179</v>
      </c>
      <c r="I81" s="19" t="s">
        <v>245</v>
      </c>
      <c r="J81" s="28">
        <f t="shared" ca="1" si="1"/>
        <v>14</v>
      </c>
      <c r="K81" s="34" t="s">
        <v>245</v>
      </c>
    </row>
    <row r="82" spans="1:11" x14ac:dyDescent="0.35">
      <c r="A82" s="19" t="s">
        <v>89</v>
      </c>
      <c r="B82" s="19" t="s">
        <v>159</v>
      </c>
      <c r="C82" s="19" t="s">
        <v>337</v>
      </c>
      <c r="D82" s="19" t="s">
        <v>343</v>
      </c>
      <c r="E82" s="37">
        <v>63687</v>
      </c>
      <c r="F82" s="20" t="s">
        <v>178</v>
      </c>
      <c r="G82" s="19">
        <v>3</v>
      </c>
      <c r="H82" s="19" t="s">
        <v>178</v>
      </c>
      <c r="I82" s="19" t="s">
        <v>208</v>
      </c>
      <c r="J82" s="28">
        <f t="shared" ca="1" si="1"/>
        <v>0</v>
      </c>
      <c r="K82" s="34" t="s">
        <v>208</v>
      </c>
    </row>
    <row r="83" spans="1:11" x14ac:dyDescent="0.35">
      <c r="A83" s="19" t="s">
        <v>90</v>
      </c>
      <c r="B83" s="19" t="s">
        <v>162</v>
      </c>
      <c r="C83" s="19" t="s">
        <v>336</v>
      </c>
      <c r="D83" s="19" t="s">
        <v>342</v>
      </c>
      <c r="E83" s="37">
        <v>95621</v>
      </c>
      <c r="F83" s="20">
        <v>42575</v>
      </c>
      <c r="G83" s="19">
        <v>3</v>
      </c>
      <c r="H83" s="19" t="s">
        <v>181</v>
      </c>
      <c r="I83" s="19" t="s">
        <v>246</v>
      </c>
      <c r="J83" s="28">
        <f t="shared" ca="1" si="1"/>
        <v>0</v>
      </c>
      <c r="K83" s="34" t="s">
        <v>246</v>
      </c>
    </row>
    <row r="84" spans="1:11" x14ac:dyDescent="0.35">
      <c r="A84" s="19" t="s">
        <v>91</v>
      </c>
      <c r="B84" s="19" t="s">
        <v>159</v>
      </c>
      <c r="C84" s="19" t="s">
        <v>169</v>
      </c>
      <c r="D84" s="19" t="s">
        <v>344</v>
      </c>
      <c r="E84" s="37">
        <v>42262</v>
      </c>
      <c r="F84" s="20">
        <v>42582</v>
      </c>
      <c r="G84" s="19">
        <v>1</v>
      </c>
      <c r="H84" s="19" t="s">
        <v>178</v>
      </c>
      <c r="I84" s="19" t="s">
        <v>247</v>
      </c>
      <c r="J84" s="28">
        <f t="shared" ca="1" si="1"/>
        <v>24</v>
      </c>
      <c r="K84" s="34" t="s">
        <v>247</v>
      </c>
    </row>
    <row r="85" spans="1:11" x14ac:dyDescent="0.35">
      <c r="A85" s="19" t="s">
        <v>92</v>
      </c>
      <c r="B85" s="19" t="s">
        <v>163</v>
      </c>
      <c r="C85" s="19" t="s">
        <v>336</v>
      </c>
      <c r="D85" s="19" t="s">
        <v>343</v>
      </c>
      <c r="E85" s="37">
        <v>99621</v>
      </c>
      <c r="F85" s="20">
        <v>42589</v>
      </c>
      <c r="G85" s="19">
        <v>3</v>
      </c>
      <c r="H85" s="19" t="s">
        <v>179</v>
      </c>
      <c r="I85" s="19" t="s">
        <v>248</v>
      </c>
      <c r="J85" s="28">
        <f t="shared" ca="1" si="1"/>
        <v>17</v>
      </c>
      <c r="K85" s="34" t="s">
        <v>248</v>
      </c>
    </row>
    <row r="86" spans="1:11" x14ac:dyDescent="0.35">
      <c r="A86" s="19" t="s">
        <v>93</v>
      </c>
      <c r="B86" s="19" t="s">
        <v>161</v>
      </c>
      <c r="C86" s="19" t="s">
        <v>337</v>
      </c>
      <c r="D86" s="19" t="s">
        <v>343</v>
      </c>
      <c r="E86" s="37">
        <v>44682</v>
      </c>
      <c r="F86" s="20">
        <v>42596</v>
      </c>
      <c r="G86" s="19">
        <v>4</v>
      </c>
      <c r="H86" s="19" t="s">
        <v>181</v>
      </c>
      <c r="I86" s="19" t="s">
        <v>220</v>
      </c>
      <c r="J86" s="28">
        <f t="shared" ca="1" si="1"/>
        <v>10</v>
      </c>
      <c r="K86" s="34" t="s">
        <v>220</v>
      </c>
    </row>
    <row r="87" spans="1:11" x14ac:dyDescent="0.35">
      <c r="A87" s="19" t="s">
        <v>94</v>
      </c>
      <c r="B87" s="19" t="s">
        <v>164</v>
      </c>
      <c r="C87" s="19" t="s">
        <v>335</v>
      </c>
      <c r="D87" s="19" t="s">
        <v>340</v>
      </c>
      <c r="E87" s="37">
        <v>35163</v>
      </c>
      <c r="F87" s="20">
        <v>42603</v>
      </c>
      <c r="G87" s="19">
        <v>5</v>
      </c>
      <c r="H87" s="19" t="s">
        <v>179</v>
      </c>
      <c r="I87" s="19" t="s">
        <v>249</v>
      </c>
      <c r="J87" s="28">
        <f t="shared" ca="1" si="1"/>
        <v>3</v>
      </c>
      <c r="K87" s="34" t="s">
        <v>249</v>
      </c>
    </row>
    <row r="88" spans="1:11" x14ac:dyDescent="0.35">
      <c r="A88" s="19" t="s">
        <v>95</v>
      </c>
      <c r="B88" s="19" t="s">
        <v>164</v>
      </c>
      <c r="C88" s="19" t="s">
        <v>169</v>
      </c>
      <c r="D88" s="19" t="s">
        <v>343</v>
      </c>
      <c r="E88" s="37">
        <v>33483</v>
      </c>
      <c r="F88" s="20">
        <v>42610</v>
      </c>
      <c r="G88" s="19">
        <v>4</v>
      </c>
      <c r="H88" s="19" t="s">
        <v>180</v>
      </c>
      <c r="I88" s="19" t="s">
        <v>250</v>
      </c>
      <c r="J88" s="28">
        <f t="shared" ca="1" si="1"/>
        <v>27</v>
      </c>
      <c r="K88" s="34" t="s">
        <v>250</v>
      </c>
    </row>
    <row r="89" spans="1:11" x14ac:dyDescent="0.35">
      <c r="A89" s="19" t="s">
        <v>96</v>
      </c>
      <c r="B89" s="19" t="s">
        <v>163</v>
      </c>
      <c r="C89" s="19" t="s">
        <v>167</v>
      </c>
      <c r="D89" s="19" t="s">
        <v>341</v>
      </c>
      <c r="E89" s="37">
        <v>55303</v>
      </c>
      <c r="F89" s="20">
        <v>42617</v>
      </c>
      <c r="G89" s="19">
        <v>4</v>
      </c>
      <c r="H89" s="19" t="s">
        <v>180</v>
      </c>
      <c r="I89" s="19" t="s">
        <v>203</v>
      </c>
      <c r="J89" s="28">
        <f t="shared" ca="1" si="1"/>
        <v>20</v>
      </c>
      <c r="K89" s="34" t="s">
        <v>203</v>
      </c>
    </row>
    <row r="90" spans="1:11" x14ac:dyDescent="0.35">
      <c r="A90" s="19" t="s">
        <v>97</v>
      </c>
      <c r="B90" s="19" t="s">
        <v>164</v>
      </c>
      <c r="C90" s="19" t="s">
        <v>169</v>
      </c>
      <c r="D90" s="19" t="s">
        <v>340</v>
      </c>
      <c r="E90" s="37">
        <v>63434</v>
      </c>
      <c r="F90" s="20">
        <v>42624</v>
      </c>
      <c r="G90" s="19">
        <v>3</v>
      </c>
      <c r="H90" s="19" t="s">
        <v>178</v>
      </c>
      <c r="I90" s="19" t="s">
        <v>251</v>
      </c>
      <c r="J90" s="28">
        <f t="shared" ca="1" si="1"/>
        <v>13</v>
      </c>
      <c r="K90" s="34" t="s">
        <v>251</v>
      </c>
    </row>
    <row r="91" spans="1:11" x14ac:dyDescent="0.35">
      <c r="A91" s="19" t="s">
        <v>98</v>
      </c>
      <c r="B91" s="19" t="s">
        <v>162</v>
      </c>
      <c r="C91" s="19" t="s">
        <v>338</v>
      </c>
      <c r="D91" s="19" t="s">
        <v>345</v>
      </c>
      <c r="E91" s="37">
        <v>38830</v>
      </c>
      <c r="F91" s="20">
        <v>42631</v>
      </c>
      <c r="G91" s="19">
        <v>3</v>
      </c>
      <c r="H91" s="19" t="s">
        <v>179</v>
      </c>
      <c r="I91" s="19" t="s">
        <v>203</v>
      </c>
      <c r="J91" s="28">
        <f t="shared" ca="1" si="1"/>
        <v>6</v>
      </c>
      <c r="K91" s="34" t="s">
        <v>203</v>
      </c>
    </row>
    <row r="92" spans="1:11" x14ac:dyDescent="0.35">
      <c r="A92" s="19" t="s">
        <v>99</v>
      </c>
      <c r="B92" s="19" t="s">
        <v>178</v>
      </c>
      <c r="C92" s="19" t="s">
        <v>337</v>
      </c>
      <c r="D92" s="19" t="s">
        <v>344</v>
      </c>
      <c r="E92" s="37">
        <v>50741</v>
      </c>
      <c r="F92" s="20">
        <v>42638</v>
      </c>
      <c r="G92" s="19">
        <v>3</v>
      </c>
      <c r="H92" s="19" t="s">
        <v>178</v>
      </c>
      <c r="I92" s="19" t="s">
        <v>240</v>
      </c>
      <c r="J92" s="28">
        <f t="shared" ca="1" si="1"/>
        <v>30</v>
      </c>
      <c r="K92" s="34" t="s">
        <v>240</v>
      </c>
    </row>
    <row r="93" spans="1:11" x14ac:dyDescent="0.35">
      <c r="A93" s="19" t="s">
        <v>100</v>
      </c>
      <c r="B93" s="19" t="s">
        <v>160</v>
      </c>
      <c r="C93" s="19" t="s">
        <v>167</v>
      </c>
      <c r="D93" s="19" t="s">
        <v>345</v>
      </c>
      <c r="E93" s="37">
        <v>69420</v>
      </c>
      <c r="F93" s="20">
        <v>42645</v>
      </c>
      <c r="G93" s="19">
        <v>1</v>
      </c>
      <c r="H93" s="19" t="s">
        <v>180</v>
      </c>
      <c r="I93" s="19" t="s">
        <v>225</v>
      </c>
      <c r="J93" s="28">
        <f t="shared" ca="1" si="1"/>
        <v>22</v>
      </c>
      <c r="K93" s="34" t="s">
        <v>225</v>
      </c>
    </row>
    <row r="94" spans="1:11" x14ac:dyDescent="0.35">
      <c r="A94" s="19" t="s">
        <v>101</v>
      </c>
      <c r="B94" s="19" t="s">
        <v>162</v>
      </c>
      <c r="C94" s="19" t="s">
        <v>169</v>
      </c>
      <c r="D94" s="19" t="s">
        <v>340</v>
      </c>
      <c r="E94" s="37">
        <v>80588</v>
      </c>
      <c r="F94" s="20">
        <v>42652</v>
      </c>
      <c r="G94" s="19">
        <v>5</v>
      </c>
      <c r="H94" s="19" t="s">
        <v>180</v>
      </c>
      <c r="I94" s="19" t="s">
        <v>216</v>
      </c>
      <c r="J94" s="28">
        <f t="shared" ca="1" si="1"/>
        <v>15</v>
      </c>
      <c r="K94" s="34" t="s">
        <v>216</v>
      </c>
    </row>
    <row r="95" spans="1:11" x14ac:dyDescent="0.35">
      <c r="A95" s="19" t="s">
        <v>102</v>
      </c>
      <c r="B95" s="19" t="s">
        <v>160</v>
      </c>
      <c r="C95" s="19" t="s">
        <v>338</v>
      </c>
      <c r="D95" s="19" t="s">
        <v>342</v>
      </c>
      <c r="E95" s="37">
        <v>76238</v>
      </c>
      <c r="F95" s="20">
        <v>42659</v>
      </c>
      <c r="G95" s="19">
        <v>4</v>
      </c>
      <c r="H95" s="19" t="s">
        <v>180</v>
      </c>
      <c r="I95" s="19" t="s">
        <v>252</v>
      </c>
      <c r="J95" s="28">
        <f t="shared" ca="1" si="1"/>
        <v>8</v>
      </c>
      <c r="K95" s="34" t="s">
        <v>252</v>
      </c>
    </row>
    <row r="96" spans="1:11" x14ac:dyDescent="0.35">
      <c r="A96" s="19" t="s">
        <v>103</v>
      </c>
      <c r="B96" s="19" t="s">
        <v>165</v>
      </c>
      <c r="C96" s="19" t="s">
        <v>169</v>
      </c>
      <c r="D96" s="19" t="s">
        <v>343</v>
      </c>
      <c r="E96" s="37">
        <v>33264</v>
      </c>
      <c r="F96" s="20">
        <v>42666</v>
      </c>
      <c r="G96" s="19">
        <v>3</v>
      </c>
      <c r="H96" s="19" t="s">
        <v>181</v>
      </c>
      <c r="I96" s="19" t="s">
        <v>253</v>
      </c>
      <c r="J96" s="28">
        <f t="shared" ca="1" si="1"/>
        <v>1</v>
      </c>
      <c r="K96" s="34" t="s">
        <v>253</v>
      </c>
    </row>
    <row r="97" spans="1:11" x14ac:dyDescent="0.35">
      <c r="A97" s="19" t="s">
        <v>104</v>
      </c>
      <c r="B97" s="19" t="s">
        <v>160</v>
      </c>
      <c r="C97" s="19" t="s">
        <v>335</v>
      </c>
      <c r="D97" s="19" t="s">
        <v>345</v>
      </c>
      <c r="E97" s="37">
        <v>96101</v>
      </c>
      <c r="F97" s="20">
        <v>42673</v>
      </c>
      <c r="G97" s="19">
        <v>3</v>
      </c>
      <c r="H97" s="19" t="s">
        <v>179</v>
      </c>
      <c r="I97" s="19" t="s">
        <v>254</v>
      </c>
      <c r="J97" s="28">
        <f t="shared" ca="1" si="1"/>
        <v>25</v>
      </c>
      <c r="K97" s="34" t="s">
        <v>254</v>
      </c>
    </row>
    <row r="98" spans="1:11" x14ac:dyDescent="0.35">
      <c r="A98" s="19" t="s">
        <v>105</v>
      </c>
      <c r="B98" s="19" t="s">
        <v>162</v>
      </c>
      <c r="C98" s="19" t="s">
        <v>335</v>
      </c>
      <c r="D98" s="19" t="s">
        <v>342</v>
      </c>
      <c r="E98" s="37">
        <v>72939</v>
      </c>
      <c r="F98" s="20">
        <v>42680</v>
      </c>
      <c r="G98" s="19">
        <v>3</v>
      </c>
      <c r="H98" s="19" t="s">
        <v>178</v>
      </c>
      <c r="I98" s="19" t="s">
        <v>255</v>
      </c>
      <c r="J98" s="28">
        <f t="shared" ca="1" si="1"/>
        <v>18</v>
      </c>
      <c r="K98" s="34" t="s">
        <v>255</v>
      </c>
    </row>
    <row r="99" spans="1:11" x14ac:dyDescent="0.35">
      <c r="A99" s="19" t="s">
        <v>106</v>
      </c>
      <c r="B99" s="19" t="s">
        <v>163</v>
      </c>
      <c r="C99" s="19" t="s">
        <v>167</v>
      </c>
      <c r="D99" s="19" t="s">
        <v>341</v>
      </c>
      <c r="E99" s="37">
        <v>89333</v>
      </c>
      <c r="F99" s="20">
        <v>42687</v>
      </c>
      <c r="G99" s="19">
        <v>1</v>
      </c>
      <c r="H99" s="19" t="s">
        <v>180</v>
      </c>
      <c r="I99" s="19" t="s">
        <v>256</v>
      </c>
      <c r="J99" s="28">
        <f t="shared" ca="1" si="1"/>
        <v>11</v>
      </c>
      <c r="K99" s="34" t="s">
        <v>256</v>
      </c>
    </row>
    <row r="100" spans="1:11" x14ac:dyDescent="0.35">
      <c r="A100" s="19" t="s">
        <v>107</v>
      </c>
      <c r="B100" s="19" t="s">
        <v>165</v>
      </c>
      <c r="C100" s="19" t="s">
        <v>169</v>
      </c>
      <c r="D100" s="19" t="s">
        <v>345</v>
      </c>
      <c r="E100" s="37">
        <v>70470</v>
      </c>
      <c r="F100" s="20">
        <v>42694</v>
      </c>
      <c r="G100" s="19">
        <v>3</v>
      </c>
      <c r="H100" s="19" t="s">
        <v>180</v>
      </c>
      <c r="I100" s="19" t="s">
        <v>257</v>
      </c>
      <c r="J100" s="28">
        <f t="shared" ca="1" si="1"/>
        <v>4</v>
      </c>
      <c r="K100" s="34" t="s">
        <v>257</v>
      </c>
    </row>
    <row r="101" spans="1:11" x14ac:dyDescent="0.35">
      <c r="A101" s="19" t="s">
        <v>108</v>
      </c>
      <c r="B101" s="19" t="s">
        <v>159</v>
      </c>
      <c r="C101" s="19" t="s">
        <v>337</v>
      </c>
      <c r="D101" s="19" t="s">
        <v>342</v>
      </c>
      <c r="E101" s="37">
        <v>70096</v>
      </c>
      <c r="F101" s="20">
        <v>42701</v>
      </c>
      <c r="G101" s="19">
        <v>4</v>
      </c>
      <c r="H101" s="19" t="s">
        <v>180</v>
      </c>
      <c r="I101" s="19" t="s">
        <v>258</v>
      </c>
      <c r="J101" s="28">
        <f t="shared" ca="1" si="1"/>
        <v>28</v>
      </c>
      <c r="K101" s="34" t="s">
        <v>258</v>
      </c>
    </row>
    <row r="102" spans="1:11" x14ac:dyDescent="0.35">
      <c r="A102" s="19" t="s">
        <v>109</v>
      </c>
      <c r="B102" s="19" t="s">
        <v>165</v>
      </c>
      <c r="C102" s="19" t="s">
        <v>337</v>
      </c>
      <c r="D102" s="19" t="s">
        <v>340</v>
      </c>
      <c r="E102" s="37">
        <v>63687</v>
      </c>
      <c r="F102" s="20">
        <v>42708</v>
      </c>
      <c r="G102" s="19">
        <v>2</v>
      </c>
      <c r="H102" s="19" t="s">
        <v>179</v>
      </c>
      <c r="I102" s="19" t="s">
        <v>259</v>
      </c>
      <c r="J102" s="28">
        <f t="shared" ca="1" si="1"/>
        <v>20</v>
      </c>
      <c r="K102" s="34" t="s">
        <v>259</v>
      </c>
    </row>
    <row r="103" spans="1:11" x14ac:dyDescent="0.35">
      <c r="A103" s="19" t="s">
        <v>110</v>
      </c>
      <c r="B103" s="19" t="s">
        <v>165</v>
      </c>
      <c r="C103" s="19" t="s">
        <v>169</v>
      </c>
      <c r="D103" s="19" t="s">
        <v>341</v>
      </c>
      <c r="E103" s="37">
        <v>66503</v>
      </c>
      <c r="F103" s="20">
        <v>42715</v>
      </c>
      <c r="G103" s="19">
        <v>3</v>
      </c>
      <c r="H103" s="19" t="s">
        <v>180</v>
      </c>
      <c r="I103" s="19" t="s">
        <v>200</v>
      </c>
      <c r="J103" s="28">
        <f t="shared" ca="1" si="1"/>
        <v>13</v>
      </c>
      <c r="K103" s="34" t="s">
        <v>200</v>
      </c>
    </row>
    <row r="104" spans="1:11" x14ac:dyDescent="0.35">
      <c r="A104" s="19" t="s">
        <v>111</v>
      </c>
      <c r="B104" s="19" t="s">
        <v>160</v>
      </c>
      <c r="C104" s="19" t="s">
        <v>167</v>
      </c>
      <c r="D104" s="19" t="s">
        <v>341</v>
      </c>
      <c r="E104" s="37">
        <v>42096</v>
      </c>
      <c r="F104" s="20">
        <v>42722</v>
      </c>
      <c r="G104" s="19">
        <v>3</v>
      </c>
      <c r="H104" s="19" t="s">
        <v>181</v>
      </c>
      <c r="I104" s="19" t="s">
        <v>260</v>
      </c>
      <c r="J104" s="28">
        <f t="shared" ca="1" si="1"/>
        <v>6</v>
      </c>
      <c r="K104" s="34" t="s">
        <v>260</v>
      </c>
    </row>
    <row r="105" spans="1:11" x14ac:dyDescent="0.35">
      <c r="A105" s="19" t="s">
        <v>112</v>
      </c>
      <c r="B105" s="19" t="s">
        <v>160</v>
      </c>
      <c r="C105" s="19" t="s">
        <v>337</v>
      </c>
      <c r="D105" s="19" t="s">
        <v>340</v>
      </c>
      <c r="E105" s="37">
        <v>79145</v>
      </c>
      <c r="F105" s="20">
        <v>42729</v>
      </c>
      <c r="G105" s="19">
        <v>5</v>
      </c>
      <c r="H105" s="19" t="s">
        <v>179</v>
      </c>
      <c r="I105" s="19" t="s">
        <v>223</v>
      </c>
      <c r="J105" s="28">
        <f t="shared" ca="1" si="1"/>
        <v>30</v>
      </c>
      <c r="K105" s="34" t="s">
        <v>223</v>
      </c>
    </row>
    <row r="106" spans="1:11" x14ac:dyDescent="0.35">
      <c r="A106" s="19" t="s">
        <v>113</v>
      </c>
      <c r="B106" s="19" t="s">
        <v>162</v>
      </c>
      <c r="C106" s="19" t="s">
        <v>338</v>
      </c>
      <c r="D106" s="19" t="s">
        <v>345</v>
      </c>
      <c r="E106" s="37">
        <v>61556</v>
      </c>
      <c r="F106" s="20">
        <v>42736</v>
      </c>
      <c r="G106" s="19">
        <v>1</v>
      </c>
      <c r="H106" s="19" t="s">
        <v>178</v>
      </c>
      <c r="I106" s="19" t="s">
        <v>259</v>
      </c>
      <c r="J106" s="28">
        <f t="shared" ca="1" si="1"/>
        <v>23</v>
      </c>
      <c r="K106" s="34" t="s">
        <v>259</v>
      </c>
    </row>
    <row r="107" spans="1:11" x14ac:dyDescent="0.35">
      <c r="A107" s="19" t="s">
        <v>114</v>
      </c>
      <c r="B107" s="19" t="s">
        <v>178</v>
      </c>
      <c r="C107" s="19" t="s">
        <v>167</v>
      </c>
      <c r="D107" s="19" t="s">
        <v>344</v>
      </c>
      <c r="E107" s="37">
        <v>87963</v>
      </c>
      <c r="F107" s="20">
        <v>42743</v>
      </c>
      <c r="G107" s="19">
        <v>3</v>
      </c>
      <c r="H107" s="19" t="s">
        <v>179</v>
      </c>
      <c r="I107" s="19" t="s">
        <v>182</v>
      </c>
      <c r="J107" s="28">
        <f t="shared" ca="1" si="1"/>
        <v>16</v>
      </c>
      <c r="K107" s="34" t="s">
        <v>340</v>
      </c>
    </row>
    <row r="108" spans="1:11" x14ac:dyDescent="0.35">
      <c r="A108" s="19" t="s">
        <v>115</v>
      </c>
      <c r="B108" s="19" t="s">
        <v>159</v>
      </c>
      <c r="C108" s="19" t="s">
        <v>169</v>
      </c>
      <c r="D108" s="19" t="s">
        <v>340</v>
      </c>
      <c r="E108" s="37">
        <v>48325</v>
      </c>
      <c r="F108" s="20">
        <v>42750</v>
      </c>
      <c r="G108" s="19">
        <v>3</v>
      </c>
      <c r="H108" s="19" t="s">
        <v>180</v>
      </c>
      <c r="I108" s="19" t="s">
        <v>261</v>
      </c>
      <c r="J108" s="28">
        <f t="shared" ca="1" si="1"/>
        <v>9</v>
      </c>
      <c r="K108" s="34" t="s">
        <v>261</v>
      </c>
    </row>
    <row r="109" spans="1:11" x14ac:dyDescent="0.35">
      <c r="A109" s="19" t="s">
        <v>116</v>
      </c>
      <c r="B109" s="19" t="s">
        <v>163</v>
      </c>
      <c r="C109" s="19" t="s">
        <v>337</v>
      </c>
      <c r="D109" s="19" t="s">
        <v>345</v>
      </c>
      <c r="E109" s="37">
        <v>86412</v>
      </c>
      <c r="F109" s="20">
        <v>42757</v>
      </c>
      <c r="G109" s="19">
        <v>2</v>
      </c>
      <c r="H109" s="19" t="s">
        <v>181</v>
      </c>
      <c r="I109" s="19" t="s">
        <v>202</v>
      </c>
      <c r="J109" s="28">
        <f t="shared" ca="1" si="1"/>
        <v>2</v>
      </c>
      <c r="K109" s="34" t="s">
        <v>202</v>
      </c>
    </row>
    <row r="110" spans="1:11" x14ac:dyDescent="0.35">
      <c r="A110" s="19" t="s">
        <v>117</v>
      </c>
      <c r="B110" s="19" t="s">
        <v>163</v>
      </c>
      <c r="C110" s="19" t="s">
        <v>167</v>
      </c>
      <c r="D110" s="19" t="s">
        <v>340</v>
      </c>
      <c r="E110" s="37">
        <v>66761</v>
      </c>
      <c r="F110" s="20">
        <v>42764</v>
      </c>
      <c r="G110" s="19">
        <v>1</v>
      </c>
      <c r="H110" s="19" t="s">
        <v>178</v>
      </c>
      <c r="I110" s="19" t="s">
        <v>262</v>
      </c>
      <c r="J110" s="28">
        <f t="shared" ca="1" si="1"/>
        <v>26</v>
      </c>
      <c r="K110" s="34" t="s">
        <v>262</v>
      </c>
    </row>
    <row r="111" spans="1:11" x14ac:dyDescent="0.35">
      <c r="A111" s="19" t="s">
        <v>118</v>
      </c>
      <c r="B111" s="19" t="s">
        <v>162</v>
      </c>
      <c r="C111" s="19" t="s">
        <v>338</v>
      </c>
      <c r="D111" s="19" t="s">
        <v>343</v>
      </c>
      <c r="E111" s="37">
        <v>88850</v>
      </c>
      <c r="F111" s="20">
        <v>42771</v>
      </c>
      <c r="G111" s="19">
        <v>1</v>
      </c>
      <c r="H111" s="19" t="s">
        <v>181</v>
      </c>
      <c r="I111" s="19" t="s">
        <v>263</v>
      </c>
      <c r="J111" s="28">
        <f t="shared" ca="1" si="1"/>
        <v>19</v>
      </c>
      <c r="K111" s="34" t="s">
        <v>263</v>
      </c>
    </row>
    <row r="112" spans="1:11" x14ac:dyDescent="0.35">
      <c r="A112" s="19" t="s">
        <v>119</v>
      </c>
      <c r="B112" s="19" t="s">
        <v>164</v>
      </c>
      <c r="C112" s="19" t="s">
        <v>336</v>
      </c>
      <c r="D112" s="19" t="s">
        <v>343</v>
      </c>
      <c r="E112" s="37">
        <v>31293</v>
      </c>
      <c r="F112" s="20" t="s">
        <v>178</v>
      </c>
      <c r="G112" s="19">
        <v>2</v>
      </c>
      <c r="H112" s="19" t="s">
        <v>181</v>
      </c>
      <c r="I112" s="19" t="s">
        <v>264</v>
      </c>
      <c r="J112" s="28">
        <f t="shared" ca="1" si="1"/>
        <v>0</v>
      </c>
      <c r="K112" s="34" t="s">
        <v>264</v>
      </c>
    </row>
    <row r="113" spans="1:11" x14ac:dyDescent="0.35">
      <c r="A113" s="19" t="s">
        <v>120</v>
      </c>
      <c r="B113" s="19" t="s">
        <v>164</v>
      </c>
      <c r="C113" s="19" t="s">
        <v>169</v>
      </c>
      <c r="D113" s="19" t="s">
        <v>342</v>
      </c>
      <c r="E113" s="37">
        <v>34306</v>
      </c>
      <c r="F113" s="20">
        <v>42785</v>
      </c>
      <c r="G113" s="19">
        <v>5</v>
      </c>
      <c r="H113" s="19" t="s">
        <v>181</v>
      </c>
      <c r="I113" s="19" t="s">
        <v>239</v>
      </c>
      <c r="J113" s="28">
        <f t="shared" ca="1" si="1"/>
        <v>5</v>
      </c>
      <c r="K113" s="34" t="s">
        <v>239</v>
      </c>
    </row>
    <row r="114" spans="1:11" x14ac:dyDescent="0.35">
      <c r="A114" s="19" t="s">
        <v>121</v>
      </c>
      <c r="B114" s="19" t="s">
        <v>159</v>
      </c>
      <c r="C114" s="19" t="s">
        <v>335</v>
      </c>
      <c r="D114" s="19" t="s">
        <v>343</v>
      </c>
      <c r="E114" s="37">
        <v>78330</v>
      </c>
      <c r="F114" s="20">
        <v>42792</v>
      </c>
      <c r="G114" s="19">
        <v>3</v>
      </c>
      <c r="H114" s="19" t="s">
        <v>179</v>
      </c>
      <c r="I114" s="19" t="s">
        <v>258</v>
      </c>
      <c r="J114" s="28">
        <f t="shared" ca="1" si="1"/>
        <v>29</v>
      </c>
      <c r="K114" s="34" t="s">
        <v>258</v>
      </c>
    </row>
    <row r="115" spans="1:11" x14ac:dyDescent="0.35">
      <c r="A115" s="19" t="s">
        <v>122</v>
      </c>
      <c r="B115" s="19" t="s">
        <v>160</v>
      </c>
      <c r="C115" s="19" t="s">
        <v>169</v>
      </c>
      <c r="D115" s="19" t="s">
        <v>342</v>
      </c>
      <c r="E115" s="37">
        <v>47653</v>
      </c>
      <c r="F115" s="20">
        <v>42799</v>
      </c>
      <c r="G115" s="19">
        <v>1</v>
      </c>
      <c r="H115" s="19" t="s">
        <v>180</v>
      </c>
      <c r="I115" s="19" t="s">
        <v>265</v>
      </c>
      <c r="J115" s="28">
        <f t="shared" ca="1" si="1"/>
        <v>19</v>
      </c>
      <c r="K115" s="34" t="s">
        <v>265</v>
      </c>
    </row>
    <row r="116" spans="1:11" x14ac:dyDescent="0.35">
      <c r="A116" s="19" t="s">
        <v>123</v>
      </c>
      <c r="B116" s="19" t="s">
        <v>159</v>
      </c>
      <c r="C116" s="19" t="s">
        <v>337</v>
      </c>
      <c r="D116" s="19" t="s">
        <v>344</v>
      </c>
      <c r="E116" s="37">
        <v>44627</v>
      </c>
      <c r="F116" s="20">
        <v>42806</v>
      </c>
      <c r="G116" s="19">
        <v>4</v>
      </c>
      <c r="H116" s="19" t="s">
        <v>178</v>
      </c>
      <c r="I116" s="19" t="s">
        <v>235</v>
      </c>
      <c r="J116" s="28">
        <f t="shared" ca="1" si="1"/>
        <v>12</v>
      </c>
      <c r="K116" s="34" t="s">
        <v>235</v>
      </c>
    </row>
    <row r="117" spans="1:11" x14ac:dyDescent="0.35">
      <c r="A117" s="19" t="s">
        <v>124</v>
      </c>
      <c r="B117" s="19" t="s">
        <v>165</v>
      </c>
      <c r="C117" s="19" t="s">
        <v>167</v>
      </c>
      <c r="D117" s="19" t="s">
        <v>341</v>
      </c>
      <c r="E117" s="37">
        <v>92343</v>
      </c>
      <c r="F117" s="20">
        <v>42813</v>
      </c>
      <c r="G117" s="19">
        <v>4</v>
      </c>
      <c r="H117" s="19" t="s">
        <v>181</v>
      </c>
      <c r="I117" s="19" t="s">
        <v>203</v>
      </c>
      <c r="J117" s="28">
        <f t="shared" ca="1" si="1"/>
        <v>5</v>
      </c>
      <c r="K117" s="34" t="s">
        <v>203</v>
      </c>
    </row>
    <row r="118" spans="1:11" x14ac:dyDescent="0.35">
      <c r="A118" s="19" t="s">
        <v>125</v>
      </c>
      <c r="B118" s="19" t="s">
        <v>165</v>
      </c>
      <c r="C118" s="19" t="s">
        <v>337</v>
      </c>
      <c r="D118" s="19" t="s">
        <v>345</v>
      </c>
      <c r="E118" s="37">
        <v>38837</v>
      </c>
      <c r="F118" s="20">
        <v>42820</v>
      </c>
      <c r="G118" s="19">
        <v>5</v>
      </c>
      <c r="H118" s="19" t="s">
        <v>181</v>
      </c>
      <c r="I118" s="19" t="s">
        <v>239</v>
      </c>
      <c r="J118" s="28">
        <f t="shared" ca="1" si="1"/>
        <v>29</v>
      </c>
      <c r="K118" s="34" t="s">
        <v>239</v>
      </c>
    </row>
    <row r="119" spans="1:11" x14ac:dyDescent="0.35">
      <c r="A119" s="19" t="s">
        <v>126</v>
      </c>
      <c r="B119" s="19" t="s">
        <v>165</v>
      </c>
      <c r="C119" s="19" t="s">
        <v>337</v>
      </c>
      <c r="D119" s="19" t="s">
        <v>340</v>
      </c>
      <c r="E119" s="37">
        <v>73483</v>
      </c>
      <c r="F119" s="20">
        <v>42827</v>
      </c>
      <c r="G119" s="19">
        <v>1</v>
      </c>
      <c r="H119" s="19" t="s">
        <v>178</v>
      </c>
      <c r="I119" s="19" t="s">
        <v>266</v>
      </c>
      <c r="J119" s="28">
        <f t="shared" ca="1" si="1"/>
        <v>22</v>
      </c>
      <c r="K119" s="34" t="s">
        <v>266</v>
      </c>
    </row>
    <row r="120" spans="1:11" x14ac:dyDescent="0.35">
      <c r="A120" s="19" t="s">
        <v>127</v>
      </c>
      <c r="B120" s="19" t="s">
        <v>164</v>
      </c>
      <c r="C120" s="19" t="s">
        <v>336</v>
      </c>
      <c r="D120" s="19" t="s">
        <v>343</v>
      </c>
      <c r="E120" s="37">
        <v>95032</v>
      </c>
      <c r="F120" s="20">
        <v>42834</v>
      </c>
      <c r="G120" s="19">
        <v>3</v>
      </c>
      <c r="H120" s="19" t="s">
        <v>178</v>
      </c>
      <c r="I120" s="19" t="s">
        <v>267</v>
      </c>
      <c r="J120" s="28">
        <f t="shared" ca="1" si="1"/>
        <v>15</v>
      </c>
      <c r="K120" s="34" t="s">
        <v>267</v>
      </c>
    </row>
    <row r="121" spans="1:11" x14ac:dyDescent="0.35">
      <c r="A121" s="19" t="s">
        <v>128</v>
      </c>
      <c r="B121" s="19" t="s">
        <v>159</v>
      </c>
      <c r="C121" s="19" t="s">
        <v>336</v>
      </c>
      <c r="D121" s="19" t="s">
        <v>345</v>
      </c>
      <c r="E121" s="37">
        <v>44358</v>
      </c>
      <c r="F121" s="20">
        <v>42841</v>
      </c>
      <c r="G121" s="19">
        <v>3</v>
      </c>
      <c r="H121" s="19" t="s">
        <v>181</v>
      </c>
      <c r="I121" s="19" t="s">
        <v>200</v>
      </c>
      <c r="J121" s="28">
        <f t="shared" ca="1" si="1"/>
        <v>8</v>
      </c>
      <c r="K121" s="34" t="s">
        <v>200</v>
      </c>
    </row>
    <row r="122" spans="1:11" x14ac:dyDescent="0.35">
      <c r="A122" s="19" t="s">
        <v>129</v>
      </c>
      <c r="B122" s="19" t="s">
        <v>178</v>
      </c>
      <c r="C122" s="19" t="s">
        <v>169</v>
      </c>
      <c r="D122" s="19" t="s">
        <v>342</v>
      </c>
      <c r="E122" s="37">
        <v>66158</v>
      </c>
      <c r="F122" s="20" t="s">
        <v>178</v>
      </c>
      <c r="G122" s="19">
        <v>5</v>
      </c>
      <c r="H122" s="19" t="s">
        <v>178</v>
      </c>
      <c r="I122" s="19" t="s">
        <v>268</v>
      </c>
      <c r="J122" s="28">
        <f t="shared" ca="1" si="1"/>
        <v>0</v>
      </c>
      <c r="K122" s="34" t="s">
        <v>268</v>
      </c>
    </row>
    <row r="123" spans="1:11" x14ac:dyDescent="0.35">
      <c r="A123" s="19" t="s">
        <v>130</v>
      </c>
      <c r="B123" s="19" t="s">
        <v>164</v>
      </c>
      <c r="C123" s="19" t="s">
        <v>336</v>
      </c>
      <c r="D123" s="19" t="s">
        <v>342</v>
      </c>
      <c r="E123" s="37">
        <v>45676</v>
      </c>
      <c r="F123" s="20">
        <v>42855</v>
      </c>
      <c r="G123" s="19">
        <v>2</v>
      </c>
      <c r="H123" s="19" t="s">
        <v>178</v>
      </c>
      <c r="I123" s="19" t="s">
        <v>269</v>
      </c>
      <c r="J123" s="28">
        <f t="shared" ca="1" si="1"/>
        <v>25</v>
      </c>
      <c r="K123" s="34" t="s">
        <v>269</v>
      </c>
    </row>
    <row r="124" spans="1:11" x14ac:dyDescent="0.35">
      <c r="A124" s="19" t="s">
        <v>131</v>
      </c>
      <c r="B124" s="19" t="s">
        <v>165</v>
      </c>
      <c r="C124" s="19" t="s">
        <v>336</v>
      </c>
      <c r="D124" s="19" t="s">
        <v>341</v>
      </c>
      <c r="E124" s="37">
        <v>52036</v>
      </c>
      <c r="F124" s="20">
        <v>42862</v>
      </c>
      <c r="G124" s="19">
        <v>3</v>
      </c>
      <c r="H124" s="19" t="s">
        <v>180</v>
      </c>
      <c r="I124" s="19" t="s">
        <v>270</v>
      </c>
      <c r="J124" s="28">
        <f t="shared" ca="1" si="1"/>
        <v>17</v>
      </c>
      <c r="K124" s="34" t="s">
        <v>270</v>
      </c>
    </row>
    <row r="125" spans="1:11" x14ac:dyDescent="0.35">
      <c r="A125" s="19" t="s">
        <v>132</v>
      </c>
      <c r="B125" s="19" t="s">
        <v>162</v>
      </c>
      <c r="C125" s="19" t="s">
        <v>338</v>
      </c>
      <c r="D125" s="19" t="s">
        <v>341</v>
      </c>
      <c r="E125" s="37">
        <v>30357</v>
      </c>
      <c r="F125" s="20">
        <v>42869</v>
      </c>
      <c r="G125" s="19">
        <v>5</v>
      </c>
      <c r="H125" s="19" t="s">
        <v>180</v>
      </c>
      <c r="I125" s="19" t="s">
        <v>248</v>
      </c>
      <c r="J125" s="28">
        <f t="shared" ca="1" si="1"/>
        <v>10</v>
      </c>
      <c r="K125" s="34" t="s">
        <v>248</v>
      </c>
    </row>
    <row r="126" spans="1:11" x14ac:dyDescent="0.35">
      <c r="A126" s="19" t="s">
        <v>133</v>
      </c>
      <c r="B126" s="19" t="s">
        <v>161</v>
      </c>
      <c r="C126" s="19" t="s">
        <v>169</v>
      </c>
      <c r="D126" s="19" t="s">
        <v>340</v>
      </c>
      <c r="E126" s="37">
        <v>60034</v>
      </c>
      <c r="F126" s="20">
        <v>42876</v>
      </c>
      <c r="G126" s="19">
        <v>1</v>
      </c>
      <c r="H126" s="19" t="s">
        <v>181</v>
      </c>
      <c r="I126" s="19" t="s">
        <v>271</v>
      </c>
      <c r="J126" s="28">
        <f t="shared" ca="1" si="1"/>
        <v>3</v>
      </c>
      <c r="K126" s="34" t="s">
        <v>271</v>
      </c>
    </row>
    <row r="127" spans="1:11" x14ac:dyDescent="0.35">
      <c r="A127" s="19" t="s">
        <v>134</v>
      </c>
      <c r="B127" s="19" t="s">
        <v>161</v>
      </c>
      <c r="C127" s="19" t="s">
        <v>335</v>
      </c>
      <c r="D127" s="19" t="s">
        <v>340</v>
      </c>
      <c r="E127" s="37">
        <v>90019</v>
      </c>
      <c r="F127" s="20">
        <v>42883</v>
      </c>
      <c r="G127" s="19">
        <v>5</v>
      </c>
      <c r="H127" s="19" t="s">
        <v>178</v>
      </c>
      <c r="I127" s="19" t="s">
        <v>272</v>
      </c>
      <c r="J127" s="28">
        <f t="shared" ca="1" si="1"/>
        <v>27</v>
      </c>
      <c r="K127" s="34" t="s">
        <v>272</v>
      </c>
    </row>
    <row r="128" spans="1:11" x14ac:dyDescent="0.35">
      <c r="A128" s="19" t="s">
        <v>135</v>
      </c>
      <c r="B128" s="19" t="s">
        <v>165</v>
      </c>
      <c r="C128" s="19" t="s">
        <v>338</v>
      </c>
      <c r="D128" s="19" t="s">
        <v>341</v>
      </c>
      <c r="E128" s="37">
        <v>71494</v>
      </c>
      <c r="F128" s="20">
        <v>42890</v>
      </c>
      <c r="G128" s="19">
        <v>3</v>
      </c>
      <c r="H128" s="19" t="s">
        <v>180</v>
      </c>
      <c r="I128" s="19" t="s">
        <v>273</v>
      </c>
      <c r="J128" s="28">
        <f t="shared" ca="1" si="1"/>
        <v>20</v>
      </c>
      <c r="K128" s="34" t="s">
        <v>273</v>
      </c>
    </row>
    <row r="129" spans="1:11" x14ac:dyDescent="0.35">
      <c r="A129" s="19" t="s">
        <v>136</v>
      </c>
      <c r="B129" s="19" t="s">
        <v>161</v>
      </c>
      <c r="C129" s="19" t="s">
        <v>335</v>
      </c>
      <c r="D129" s="19" t="s">
        <v>342</v>
      </c>
      <c r="E129" s="37">
        <v>91953</v>
      </c>
      <c r="F129" s="20">
        <v>42897</v>
      </c>
      <c r="G129" s="19">
        <v>2</v>
      </c>
      <c r="H129" s="19" t="s">
        <v>180</v>
      </c>
      <c r="I129" s="19" t="s">
        <v>209</v>
      </c>
      <c r="J129" s="28">
        <f t="shared" ca="1" si="1"/>
        <v>13</v>
      </c>
      <c r="K129" s="34" t="s">
        <v>209</v>
      </c>
    </row>
    <row r="130" spans="1:11" x14ac:dyDescent="0.35">
      <c r="A130" s="19" t="s">
        <v>137</v>
      </c>
      <c r="B130" s="19" t="s">
        <v>164</v>
      </c>
      <c r="C130" s="19" t="s">
        <v>336</v>
      </c>
      <c r="D130" s="19" t="s">
        <v>342</v>
      </c>
      <c r="E130" s="37">
        <v>30402</v>
      </c>
      <c r="F130" s="20">
        <v>42904</v>
      </c>
      <c r="G130" s="19">
        <v>1</v>
      </c>
      <c r="H130" s="19" t="s">
        <v>178</v>
      </c>
      <c r="I130" s="19" t="s">
        <v>274</v>
      </c>
      <c r="J130" s="28">
        <f t="shared" ca="1" si="1"/>
        <v>6</v>
      </c>
      <c r="K130" s="34" t="s">
        <v>274</v>
      </c>
    </row>
    <row r="131" spans="1:11" x14ac:dyDescent="0.35">
      <c r="A131" s="19" t="s">
        <v>138</v>
      </c>
      <c r="B131" s="19" t="s">
        <v>165</v>
      </c>
      <c r="C131" s="19" t="s">
        <v>338</v>
      </c>
      <c r="D131" s="19" t="s">
        <v>344</v>
      </c>
      <c r="E131" s="37">
        <v>62994</v>
      </c>
      <c r="F131" s="20">
        <v>42911</v>
      </c>
      <c r="G131" s="19">
        <v>3</v>
      </c>
      <c r="H131" s="19" t="s">
        <v>178</v>
      </c>
      <c r="I131" s="19" t="s">
        <v>221</v>
      </c>
      <c r="J131" s="28">
        <f t="shared" ca="1" si="1"/>
        <v>30</v>
      </c>
      <c r="K131" s="34" t="s">
        <v>221</v>
      </c>
    </row>
    <row r="132" spans="1:11" x14ac:dyDescent="0.35">
      <c r="A132" s="19" t="s">
        <v>139</v>
      </c>
      <c r="B132" s="19" t="s">
        <v>160</v>
      </c>
      <c r="C132" s="19" t="s">
        <v>336</v>
      </c>
      <c r="D132" s="19" t="s">
        <v>343</v>
      </c>
      <c r="E132" s="37">
        <v>48289</v>
      </c>
      <c r="F132" s="20" t="s">
        <v>178</v>
      </c>
      <c r="G132" s="19">
        <v>3</v>
      </c>
      <c r="H132" s="19" t="s">
        <v>180</v>
      </c>
      <c r="I132" s="19" t="s">
        <v>189</v>
      </c>
      <c r="J132" s="28">
        <f t="shared" ref="J132:J151" ca="1" si="2">IF(F132="Unknown",0,DATEDIF(F132, TODAY(), "MD"))</f>
        <v>0</v>
      </c>
      <c r="K132" s="34" t="s">
        <v>189</v>
      </c>
    </row>
    <row r="133" spans="1:11" x14ac:dyDescent="0.35">
      <c r="A133" s="19" t="s">
        <v>140</v>
      </c>
      <c r="B133" s="19" t="s">
        <v>163</v>
      </c>
      <c r="C133" s="19" t="s">
        <v>337</v>
      </c>
      <c r="D133" s="19" t="s">
        <v>341</v>
      </c>
      <c r="E133" s="37">
        <v>34402</v>
      </c>
      <c r="F133" s="20">
        <v>42925</v>
      </c>
      <c r="G133" s="19">
        <v>3</v>
      </c>
      <c r="H133" s="19" t="s">
        <v>179</v>
      </c>
      <c r="I133" s="19" t="s">
        <v>218</v>
      </c>
      <c r="J133" s="28">
        <f t="shared" ca="1" si="2"/>
        <v>15</v>
      </c>
      <c r="K133" s="34" t="s">
        <v>218</v>
      </c>
    </row>
    <row r="134" spans="1:11" x14ac:dyDescent="0.35">
      <c r="A134" s="19" t="s">
        <v>141</v>
      </c>
      <c r="B134" s="19" t="s">
        <v>159</v>
      </c>
      <c r="C134" s="19" t="s">
        <v>167</v>
      </c>
      <c r="D134" s="19" t="s">
        <v>342</v>
      </c>
      <c r="E134" s="37">
        <v>38678</v>
      </c>
      <c r="F134" s="20">
        <v>42932</v>
      </c>
      <c r="G134" s="19">
        <v>3</v>
      </c>
      <c r="H134" s="19" t="s">
        <v>179</v>
      </c>
      <c r="I134" s="19" t="s">
        <v>275</v>
      </c>
      <c r="J134" s="28">
        <f t="shared" ca="1" si="2"/>
        <v>8</v>
      </c>
      <c r="K134" s="34" t="s">
        <v>275</v>
      </c>
    </row>
    <row r="135" spans="1:11" x14ac:dyDescent="0.35">
      <c r="A135" s="19" t="s">
        <v>142</v>
      </c>
      <c r="B135" s="19" t="s">
        <v>164</v>
      </c>
      <c r="C135" s="19" t="s">
        <v>167</v>
      </c>
      <c r="D135" s="19" t="s">
        <v>341</v>
      </c>
      <c r="E135" s="37">
        <v>45758</v>
      </c>
      <c r="F135" s="20">
        <v>42939</v>
      </c>
      <c r="G135" s="19">
        <v>3</v>
      </c>
      <c r="H135" s="19" t="s">
        <v>178</v>
      </c>
      <c r="I135" s="19" t="s">
        <v>264</v>
      </c>
      <c r="J135" s="28">
        <f t="shared" ca="1" si="2"/>
        <v>1</v>
      </c>
      <c r="K135" s="34" t="s">
        <v>264</v>
      </c>
    </row>
    <row r="136" spans="1:11" x14ac:dyDescent="0.35">
      <c r="A136" s="19" t="s">
        <v>143</v>
      </c>
      <c r="B136" s="19" t="s">
        <v>159</v>
      </c>
      <c r="C136" s="19" t="s">
        <v>337</v>
      </c>
      <c r="D136" s="19" t="s">
        <v>343</v>
      </c>
      <c r="E136" s="37">
        <v>62476</v>
      </c>
      <c r="F136" s="20">
        <v>42946</v>
      </c>
      <c r="G136" s="19">
        <v>1</v>
      </c>
      <c r="H136" s="19" t="s">
        <v>179</v>
      </c>
      <c r="I136" s="19" t="s">
        <v>231</v>
      </c>
      <c r="J136" s="28">
        <f t="shared" ca="1" si="2"/>
        <v>25</v>
      </c>
      <c r="K136" s="34" t="s">
        <v>231</v>
      </c>
    </row>
    <row r="137" spans="1:11" x14ac:dyDescent="0.35">
      <c r="A137" s="19" t="s">
        <v>144</v>
      </c>
      <c r="B137" s="19" t="s">
        <v>178</v>
      </c>
      <c r="C137" s="19" t="s">
        <v>169</v>
      </c>
      <c r="D137" s="19" t="s">
        <v>344</v>
      </c>
      <c r="E137" s="37">
        <v>39280</v>
      </c>
      <c r="F137" s="20">
        <v>42953</v>
      </c>
      <c r="G137" s="19">
        <v>3</v>
      </c>
      <c r="H137" s="19" t="s">
        <v>181</v>
      </c>
      <c r="I137" s="19" t="s">
        <v>214</v>
      </c>
      <c r="J137" s="28">
        <f t="shared" ca="1" si="2"/>
        <v>18</v>
      </c>
      <c r="K137" s="34" t="s">
        <v>214</v>
      </c>
    </row>
    <row r="138" spans="1:11" x14ac:dyDescent="0.35">
      <c r="A138" s="19" t="s">
        <v>145</v>
      </c>
      <c r="B138" s="19" t="s">
        <v>162</v>
      </c>
      <c r="C138" s="19" t="s">
        <v>335</v>
      </c>
      <c r="D138" s="19" t="s">
        <v>343</v>
      </c>
      <c r="E138" s="37">
        <v>60335</v>
      </c>
      <c r="F138" s="20">
        <v>42960</v>
      </c>
      <c r="G138" s="19">
        <v>4</v>
      </c>
      <c r="H138" s="19" t="s">
        <v>179</v>
      </c>
      <c r="I138" s="19" t="s">
        <v>227</v>
      </c>
      <c r="J138" s="28">
        <f t="shared" ca="1" si="2"/>
        <v>11</v>
      </c>
      <c r="K138" s="34" t="s">
        <v>227</v>
      </c>
    </row>
    <row r="139" spans="1:11" x14ac:dyDescent="0.35">
      <c r="A139" s="19" t="s">
        <v>146</v>
      </c>
      <c r="B139" s="19" t="s">
        <v>164</v>
      </c>
      <c r="C139" s="19" t="s">
        <v>167</v>
      </c>
      <c r="D139" s="19" t="s">
        <v>341</v>
      </c>
      <c r="E139" s="37">
        <v>84968</v>
      </c>
      <c r="F139" s="20">
        <v>42967</v>
      </c>
      <c r="G139" s="19">
        <v>3</v>
      </c>
      <c r="H139" s="19" t="s">
        <v>178</v>
      </c>
      <c r="I139" s="19" t="s">
        <v>276</v>
      </c>
      <c r="J139" s="28">
        <f t="shared" ca="1" si="2"/>
        <v>4</v>
      </c>
      <c r="K139" s="34" t="s">
        <v>276</v>
      </c>
    </row>
    <row r="140" spans="1:11" x14ac:dyDescent="0.35">
      <c r="A140" s="19" t="s">
        <v>147</v>
      </c>
      <c r="B140" s="19" t="s">
        <v>164</v>
      </c>
      <c r="C140" s="19" t="s">
        <v>337</v>
      </c>
      <c r="D140" s="19" t="s">
        <v>345</v>
      </c>
      <c r="E140" s="37">
        <v>84750</v>
      </c>
      <c r="F140" s="20">
        <v>42974</v>
      </c>
      <c r="G140" s="19">
        <v>4</v>
      </c>
      <c r="H140" s="19" t="s">
        <v>181</v>
      </c>
      <c r="I140" s="19" t="s">
        <v>195</v>
      </c>
      <c r="J140" s="28">
        <f t="shared" ca="1" si="2"/>
        <v>28</v>
      </c>
      <c r="K140" s="34" t="s">
        <v>195</v>
      </c>
    </row>
    <row r="141" spans="1:11" x14ac:dyDescent="0.35">
      <c r="A141" s="19" t="s">
        <v>148</v>
      </c>
      <c r="B141" s="19" t="s">
        <v>165</v>
      </c>
      <c r="C141" s="19" t="s">
        <v>169</v>
      </c>
      <c r="D141" s="19" t="s">
        <v>340</v>
      </c>
      <c r="E141" s="37">
        <v>73348</v>
      </c>
      <c r="F141" s="20">
        <v>42981</v>
      </c>
      <c r="G141" s="19">
        <v>2</v>
      </c>
      <c r="H141" s="19" t="s">
        <v>178</v>
      </c>
      <c r="I141" s="19" t="s">
        <v>243</v>
      </c>
      <c r="J141" s="28">
        <f t="shared" ca="1" si="2"/>
        <v>21</v>
      </c>
      <c r="K141" s="34" t="s">
        <v>243</v>
      </c>
    </row>
    <row r="142" spans="1:11" x14ac:dyDescent="0.35">
      <c r="A142" s="19" t="s">
        <v>149</v>
      </c>
      <c r="B142" s="19" t="s">
        <v>164</v>
      </c>
      <c r="C142" s="19" t="s">
        <v>336</v>
      </c>
      <c r="D142" s="19" t="s">
        <v>342</v>
      </c>
      <c r="E142" s="37">
        <v>67929</v>
      </c>
      <c r="F142" s="20">
        <v>42988</v>
      </c>
      <c r="G142" s="19">
        <v>4</v>
      </c>
      <c r="H142" s="19" t="s">
        <v>179</v>
      </c>
      <c r="I142" s="19" t="s">
        <v>182</v>
      </c>
      <c r="J142" s="28">
        <f t="shared" ca="1" si="2"/>
        <v>14</v>
      </c>
      <c r="K142" s="34" t="s">
        <v>340</v>
      </c>
    </row>
    <row r="143" spans="1:11" x14ac:dyDescent="0.35">
      <c r="A143" s="19" t="s">
        <v>150</v>
      </c>
      <c r="B143" s="19" t="s">
        <v>162</v>
      </c>
      <c r="C143" s="19" t="s">
        <v>337</v>
      </c>
      <c r="D143" s="19" t="s">
        <v>342</v>
      </c>
      <c r="E143" s="37">
        <v>66882</v>
      </c>
      <c r="F143" s="20">
        <v>42995</v>
      </c>
      <c r="G143" s="19">
        <v>5</v>
      </c>
      <c r="H143" s="19" t="s">
        <v>179</v>
      </c>
      <c r="I143" s="19" t="s">
        <v>207</v>
      </c>
      <c r="J143" s="28">
        <f t="shared" ca="1" si="2"/>
        <v>7</v>
      </c>
      <c r="K143" s="34" t="s">
        <v>207</v>
      </c>
    </row>
    <row r="144" spans="1:11" x14ac:dyDescent="0.35">
      <c r="A144" s="19" t="s">
        <v>151</v>
      </c>
      <c r="B144" s="19" t="s">
        <v>160</v>
      </c>
      <c r="C144" s="19" t="s">
        <v>337</v>
      </c>
      <c r="D144" s="19" t="s">
        <v>340</v>
      </c>
      <c r="E144" s="37">
        <v>86775</v>
      </c>
      <c r="F144" s="20">
        <v>43002</v>
      </c>
      <c r="G144" s="19">
        <v>3</v>
      </c>
      <c r="H144" s="19" t="s">
        <v>179</v>
      </c>
      <c r="I144" s="19" t="s">
        <v>212</v>
      </c>
      <c r="J144" s="28">
        <f t="shared" ca="1" si="2"/>
        <v>0</v>
      </c>
      <c r="K144" s="34" t="s">
        <v>212</v>
      </c>
    </row>
    <row r="145" spans="1:11" x14ac:dyDescent="0.35">
      <c r="A145" s="19" t="s">
        <v>152</v>
      </c>
      <c r="B145" s="19" t="s">
        <v>164</v>
      </c>
      <c r="C145" s="19" t="s">
        <v>336</v>
      </c>
      <c r="D145" s="19" t="s">
        <v>344</v>
      </c>
      <c r="E145" s="37">
        <v>91620</v>
      </c>
      <c r="F145" s="20">
        <v>43009</v>
      </c>
      <c r="G145" s="19">
        <v>3</v>
      </c>
      <c r="H145" s="19" t="s">
        <v>178</v>
      </c>
      <c r="I145" s="19" t="s">
        <v>277</v>
      </c>
      <c r="J145" s="28">
        <f t="shared" ca="1" si="2"/>
        <v>23</v>
      </c>
      <c r="K145" s="34" t="s">
        <v>277</v>
      </c>
    </row>
    <row r="146" spans="1:11" x14ac:dyDescent="0.35">
      <c r="A146" s="19" t="s">
        <v>153</v>
      </c>
      <c r="B146" s="19" t="s">
        <v>159</v>
      </c>
      <c r="C146" s="19" t="s">
        <v>338</v>
      </c>
      <c r="D146" s="19" t="s">
        <v>340</v>
      </c>
      <c r="E146" s="37">
        <v>94148</v>
      </c>
      <c r="F146" s="20">
        <v>43016</v>
      </c>
      <c r="G146" s="19">
        <v>2</v>
      </c>
      <c r="H146" s="19" t="s">
        <v>178</v>
      </c>
      <c r="I146" s="19" t="s">
        <v>278</v>
      </c>
      <c r="J146" s="28">
        <f t="shared" ca="1" si="2"/>
        <v>16</v>
      </c>
      <c r="K146" s="34" t="s">
        <v>278</v>
      </c>
    </row>
    <row r="147" spans="1:11" x14ac:dyDescent="0.35">
      <c r="A147" s="19" t="s">
        <v>154</v>
      </c>
      <c r="B147" s="19" t="s">
        <v>163</v>
      </c>
      <c r="C147" s="19" t="s">
        <v>336</v>
      </c>
      <c r="D147" s="19" t="s">
        <v>345</v>
      </c>
      <c r="E147" s="37">
        <v>35627</v>
      </c>
      <c r="F147" s="20">
        <v>43023</v>
      </c>
      <c r="G147" s="19">
        <v>5</v>
      </c>
      <c r="H147" s="19" t="s">
        <v>181</v>
      </c>
      <c r="I147" s="19" t="s">
        <v>275</v>
      </c>
      <c r="J147" s="28">
        <f t="shared" ca="1" si="2"/>
        <v>9</v>
      </c>
      <c r="K147" s="34" t="s">
        <v>275</v>
      </c>
    </row>
    <row r="148" spans="1:11" x14ac:dyDescent="0.35">
      <c r="A148" s="19" t="s">
        <v>155</v>
      </c>
      <c r="B148" s="19" t="s">
        <v>161</v>
      </c>
      <c r="C148" s="19" t="s">
        <v>337</v>
      </c>
      <c r="D148" s="19" t="s">
        <v>342</v>
      </c>
      <c r="E148" s="37">
        <v>57141</v>
      </c>
      <c r="F148" s="20">
        <v>43030</v>
      </c>
      <c r="G148" s="19">
        <v>2</v>
      </c>
      <c r="H148" s="19" t="s">
        <v>178</v>
      </c>
      <c r="I148" s="19" t="s">
        <v>276</v>
      </c>
      <c r="J148" s="28">
        <f t="shared" ca="1" si="2"/>
        <v>2</v>
      </c>
      <c r="K148" s="34" t="s">
        <v>276</v>
      </c>
    </row>
    <row r="149" spans="1:11" x14ac:dyDescent="0.35">
      <c r="A149" s="19" t="s">
        <v>156</v>
      </c>
      <c r="B149" s="19" t="s">
        <v>165</v>
      </c>
      <c r="C149" s="19" t="s">
        <v>336</v>
      </c>
      <c r="D149" s="19" t="s">
        <v>345</v>
      </c>
      <c r="E149" s="37">
        <v>65270</v>
      </c>
      <c r="F149" s="20">
        <v>43037</v>
      </c>
      <c r="G149" s="19">
        <v>1</v>
      </c>
      <c r="H149" s="19" t="s">
        <v>178</v>
      </c>
      <c r="I149" s="19" t="s">
        <v>279</v>
      </c>
      <c r="J149" s="28">
        <f t="shared" ca="1" si="2"/>
        <v>26</v>
      </c>
      <c r="K149" s="34" t="s">
        <v>279</v>
      </c>
    </row>
    <row r="150" spans="1:11" x14ac:dyDescent="0.35">
      <c r="A150" s="19" t="s">
        <v>157</v>
      </c>
      <c r="B150" s="19" t="s">
        <v>165</v>
      </c>
      <c r="C150" s="19" t="s">
        <v>338</v>
      </c>
      <c r="D150" s="19" t="s">
        <v>344</v>
      </c>
      <c r="E150" s="37">
        <v>67335</v>
      </c>
      <c r="F150" s="20">
        <v>43044</v>
      </c>
      <c r="G150" s="19">
        <v>1</v>
      </c>
      <c r="H150" s="19" t="s">
        <v>179</v>
      </c>
      <c r="I150" s="19" t="s">
        <v>233</v>
      </c>
      <c r="J150" s="28">
        <f t="shared" ca="1" si="2"/>
        <v>19</v>
      </c>
      <c r="K150" s="34" t="s">
        <v>233</v>
      </c>
    </row>
    <row r="151" spans="1:11" x14ac:dyDescent="0.35">
      <c r="A151" s="19" t="s">
        <v>158</v>
      </c>
      <c r="B151" s="19" t="s">
        <v>163</v>
      </c>
      <c r="C151" s="19" t="s">
        <v>337</v>
      </c>
      <c r="D151" s="19" t="s">
        <v>343</v>
      </c>
      <c r="E151" s="37">
        <v>98475</v>
      </c>
      <c r="F151" s="20">
        <v>43051</v>
      </c>
      <c r="G151" s="19">
        <v>5</v>
      </c>
      <c r="H151" s="19" t="s">
        <v>179</v>
      </c>
      <c r="I151" s="19" t="s">
        <v>280</v>
      </c>
      <c r="J151" s="28">
        <f t="shared" ca="1" si="2"/>
        <v>12</v>
      </c>
      <c r="K151" s="34" t="s">
        <v>280</v>
      </c>
    </row>
    <row r="153" spans="1:11" x14ac:dyDescent="0.35">
      <c r="D153" s="30" t="s">
        <v>415</v>
      </c>
      <c r="E153" s="43" t="s">
        <v>4</v>
      </c>
      <c r="F153" s="43"/>
      <c r="G153" s="43" t="s">
        <v>429</v>
      </c>
      <c r="H153" s="43"/>
      <c r="I153" s="43" t="s">
        <v>401</v>
      </c>
      <c r="J153" s="43"/>
    </row>
    <row r="154" spans="1:11" x14ac:dyDescent="0.35">
      <c r="E154" s="25"/>
      <c r="F154" s="25"/>
      <c r="G154" s="25"/>
      <c r="H154" s="25"/>
      <c r="I154" s="25"/>
      <c r="J154" s="25"/>
    </row>
    <row r="155" spans="1:11" x14ac:dyDescent="0.35">
      <c r="E155" s="25" t="s">
        <v>316</v>
      </c>
      <c r="F155" s="25">
        <v>66240.566666666666</v>
      </c>
      <c r="G155" s="25" t="s">
        <v>316</v>
      </c>
      <c r="H155" s="25">
        <v>2.8933333333333335</v>
      </c>
      <c r="I155" s="25" t="s">
        <v>316</v>
      </c>
      <c r="J155" s="25">
        <v>13.786666666666667</v>
      </c>
    </row>
    <row r="156" spans="1:11" x14ac:dyDescent="0.35">
      <c r="E156" s="25" t="s">
        <v>317</v>
      </c>
      <c r="F156" s="25">
        <v>1718.5655770792837</v>
      </c>
      <c r="G156" s="25" t="s">
        <v>317</v>
      </c>
      <c r="H156" s="25">
        <v>0.10750231948662189</v>
      </c>
      <c r="I156" s="25" t="s">
        <v>317</v>
      </c>
      <c r="J156" s="25">
        <v>0.76334285819990633</v>
      </c>
    </row>
    <row r="157" spans="1:11" x14ac:dyDescent="0.35">
      <c r="E157" s="25" t="s">
        <v>318</v>
      </c>
      <c r="F157" s="25">
        <v>66330.5</v>
      </c>
      <c r="G157" s="25" t="s">
        <v>318</v>
      </c>
      <c r="H157" s="25">
        <v>3</v>
      </c>
      <c r="I157" s="25" t="s">
        <v>318</v>
      </c>
      <c r="J157" s="25">
        <v>14</v>
      </c>
    </row>
    <row r="158" spans="1:11" x14ac:dyDescent="0.35">
      <c r="E158" s="25" t="s">
        <v>308</v>
      </c>
      <c r="F158" s="25">
        <v>63687</v>
      </c>
      <c r="G158" s="25" t="s">
        <v>308</v>
      </c>
      <c r="H158" s="25">
        <v>3</v>
      </c>
      <c r="I158" s="25" t="s">
        <v>308</v>
      </c>
      <c r="J158" s="25">
        <v>0</v>
      </c>
    </row>
    <row r="159" spans="1:11" x14ac:dyDescent="0.35">
      <c r="E159" s="25" t="s">
        <v>319</v>
      </c>
      <c r="F159" s="25">
        <v>21048.043766779792</v>
      </c>
      <c r="G159" s="25" t="s">
        <v>319</v>
      </c>
      <c r="H159" s="25">
        <v>1.3166291445394025</v>
      </c>
      <c r="I159" s="25" t="s">
        <v>319</v>
      </c>
      <c r="J159" s="25">
        <v>9.3490025069373228</v>
      </c>
    </row>
    <row r="160" spans="1:11" x14ac:dyDescent="0.35">
      <c r="E160" s="25" t="s">
        <v>320</v>
      </c>
      <c r="F160" s="25">
        <v>443020146.40827769</v>
      </c>
      <c r="G160" s="25" t="s">
        <v>320</v>
      </c>
      <c r="H160" s="25">
        <v>1.7335123042505589</v>
      </c>
      <c r="I160" s="25" t="s">
        <v>320</v>
      </c>
      <c r="J160" s="25">
        <v>87.403847874720356</v>
      </c>
    </row>
    <row r="161" spans="5:10" x14ac:dyDescent="0.35">
      <c r="E161" s="25" t="s">
        <v>321</v>
      </c>
      <c r="F161" s="25">
        <v>-1.1897402117668621</v>
      </c>
      <c r="G161" s="25" t="s">
        <v>321</v>
      </c>
      <c r="H161" s="25">
        <v>-0.92673447257923369</v>
      </c>
      <c r="I161" s="25" t="s">
        <v>321</v>
      </c>
      <c r="J161" s="25">
        <v>-1.2216681449303362</v>
      </c>
    </row>
    <row r="162" spans="5:10" x14ac:dyDescent="0.35">
      <c r="E162" s="25" t="s">
        <v>322</v>
      </c>
      <c r="F162" s="25">
        <v>-0.11584427781012709</v>
      </c>
      <c r="G162" s="25" t="s">
        <v>322</v>
      </c>
      <c r="H162" s="25">
        <v>0.10978027104089233</v>
      </c>
      <c r="I162" s="25" t="s">
        <v>322</v>
      </c>
      <c r="J162" s="25">
        <v>8.6308678859290819E-2</v>
      </c>
    </row>
    <row r="163" spans="5:10" x14ac:dyDescent="0.35">
      <c r="E163" s="25" t="s">
        <v>323</v>
      </c>
      <c r="F163" s="25">
        <v>69341</v>
      </c>
      <c r="G163" s="25" t="s">
        <v>323</v>
      </c>
      <c r="H163" s="25">
        <v>4</v>
      </c>
      <c r="I163" s="25" t="s">
        <v>323</v>
      </c>
      <c r="J163" s="25">
        <v>30</v>
      </c>
    </row>
    <row r="164" spans="5:10" x14ac:dyDescent="0.35">
      <c r="E164" s="25" t="s">
        <v>324</v>
      </c>
      <c r="F164" s="25">
        <v>30280</v>
      </c>
      <c r="G164" s="25" t="s">
        <v>324</v>
      </c>
      <c r="H164" s="25">
        <v>1</v>
      </c>
      <c r="I164" s="25" t="s">
        <v>324</v>
      </c>
      <c r="J164" s="25">
        <v>0</v>
      </c>
    </row>
    <row r="165" spans="5:10" x14ac:dyDescent="0.35">
      <c r="E165" s="25" t="s">
        <v>325</v>
      </c>
      <c r="F165" s="25">
        <v>99621</v>
      </c>
      <c r="G165" s="25" t="s">
        <v>325</v>
      </c>
      <c r="H165" s="25">
        <v>5</v>
      </c>
      <c r="I165" s="25" t="s">
        <v>325</v>
      </c>
      <c r="J165" s="25">
        <v>30</v>
      </c>
    </row>
    <row r="166" spans="5:10" x14ac:dyDescent="0.35">
      <c r="E166" s="25" t="s">
        <v>326</v>
      </c>
      <c r="F166" s="25">
        <v>9936085</v>
      </c>
      <c r="G166" s="25" t="s">
        <v>326</v>
      </c>
      <c r="H166" s="25">
        <v>434</v>
      </c>
      <c r="I166" s="25" t="s">
        <v>326</v>
      </c>
      <c r="J166" s="25">
        <v>2068</v>
      </c>
    </row>
    <row r="167" spans="5:10" x14ac:dyDescent="0.35">
      <c r="E167" s="25" t="s">
        <v>327</v>
      </c>
      <c r="F167" s="25">
        <v>150</v>
      </c>
      <c r="G167" s="25" t="s">
        <v>327</v>
      </c>
      <c r="H167" s="25">
        <v>150</v>
      </c>
      <c r="I167" s="25" t="s">
        <v>327</v>
      </c>
      <c r="J167" s="25">
        <v>150</v>
      </c>
    </row>
  </sheetData>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2" id="{78B5D872-DCB0-4C95-A268-E18352478130}">
            <x14:iconSet iconSet="3Flags" custom="1">
              <x14:cfvo type="percent">
                <xm:f>0</xm:f>
              </x14:cfvo>
              <x14:cfvo type="num" gte="0">
                <xm:f>50000</xm:f>
              </x14:cfvo>
              <x14:cfvo type="num">
                <xm:f>70000</xm:f>
              </x14:cfvo>
              <x14:cfIcon iconSet="3Triangles" iconId="0"/>
              <x14:cfIcon iconSet="3Triangles" iconId="1"/>
              <x14:cfIcon iconSet="3Triangles" iconId="2"/>
            </x14:iconSet>
          </x14:cfRule>
          <xm:sqref>E2:E151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B501-5A9A-4925-A71D-942FBB2BDC97}">
  <dimension ref="A2:L101"/>
  <sheetViews>
    <sheetView zoomScaleNormal="100" workbookViewId="0">
      <selection activeCell="D8" sqref="D8"/>
    </sheetView>
  </sheetViews>
  <sheetFormatPr defaultRowHeight="14.5" x14ac:dyDescent="0.35"/>
  <cols>
    <col min="1" max="1" width="13.26953125" bestFit="1" customWidth="1"/>
    <col min="2" max="2" width="24.36328125" bestFit="1" customWidth="1"/>
    <col min="3" max="3" width="22.08984375" bestFit="1" customWidth="1"/>
    <col min="4" max="4" width="25.1796875" bestFit="1" customWidth="1"/>
    <col min="5" max="6" width="7.08984375" bestFit="1" customWidth="1"/>
    <col min="7" max="31" width="15.6328125" bestFit="1" customWidth="1"/>
    <col min="32" max="32" width="10.7265625" bestFit="1" customWidth="1"/>
  </cols>
  <sheetData>
    <row r="2" spans="1:6" x14ac:dyDescent="0.35">
      <c r="A2" s="30" t="s">
        <v>414</v>
      </c>
      <c r="B2" t="s">
        <v>436</v>
      </c>
      <c r="F2" s="30" t="s">
        <v>416</v>
      </c>
    </row>
    <row r="4" spans="1:6" x14ac:dyDescent="0.35">
      <c r="A4" s="38" t="s">
        <v>430</v>
      </c>
      <c r="B4" s="25" t="s">
        <v>431</v>
      </c>
    </row>
    <row r="5" spans="1:6" x14ac:dyDescent="0.35">
      <c r="A5" s="2" t="s">
        <v>181</v>
      </c>
      <c r="B5" s="39">
        <v>2148973</v>
      </c>
    </row>
    <row r="6" spans="1:6" x14ac:dyDescent="0.35">
      <c r="A6" s="2" t="s">
        <v>180</v>
      </c>
      <c r="B6" s="39">
        <v>2203211</v>
      </c>
    </row>
    <row r="7" spans="1:6" x14ac:dyDescent="0.35">
      <c r="A7" s="2" t="s">
        <v>179</v>
      </c>
      <c r="B7" s="39">
        <v>2391648</v>
      </c>
    </row>
    <row r="8" spans="1:6" x14ac:dyDescent="0.35">
      <c r="A8" s="2" t="s">
        <v>178</v>
      </c>
      <c r="B8" s="39">
        <v>3192253</v>
      </c>
    </row>
    <row r="9" spans="1:6" x14ac:dyDescent="0.35">
      <c r="A9" s="2" t="s">
        <v>432</v>
      </c>
      <c r="B9" s="39">
        <v>9936085</v>
      </c>
    </row>
    <row r="12" spans="1:6" x14ac:dyDescent="0.35">
      <c r="A12" s="38" t="s">
        <v>430</v>
      </c>
      <c r="B12" s="25" t="s">
        <v>433</v>
      </c>
    </row>
    <row r="13" spans="1:6" x14ac:dyDescent="0.35">
      <c r="A13" s="2" t="s">
        <v>181</v>
      </c>
      <c r="B13" s="76">
        <v>400</v>
      </c>
    </row>
    <row r="14" spans="1:6" x14ac:dyDescent="0.35">
      <c r="A14" s="2" t="s">
        <v>180</v>
      </c>
      <c r="B14" s="76">
        <v>486</v>
      </c>
    </row>
    <row r="15" spans="1:6" x14ac:dyDescent="0.35">
      <c r="A15" s="2" t="s">
        <v>179</v>
      </c>
      <c r="B15" s="76">
        <v>407</v>
      </c>
    </row>
    <row r="16" spans="1:6" x14ac:dyDescent="0.35">
      <c r="A16" s="2" t="s">
        <v>178</v>
      </c>
      <c r="B16" s="76">
        <v>809</v>
      </c>
    </row>
    <row r="17" spans="1:4" x14ac:dyDescent="0.35">
      <c r="A17" s="2" t="s">
        <v>432</v>
      </c>
      <c r="B17" s="76">
        <v>2102</v>
      </c>
    </row>
    <row r="20" spans="1:4" x14ac:dyDescent="0.35">
      <c r="A20" s="40" t="s">
        <v>430</v>
      </c>
      <c r="B20" s="39" t="s">
        <v>434</v>
      </c>
      <c r="C20" s="39" t="s">
        <v>438</v>
      </c>
      <c r="D20" s="39" t="s">
        <v>440</v>
      </c>
    </row>
    <row r="21" spans="1:4" x14ac:dyDescent="0.35">
      <c r="A21" s="41" t="s">
        <v>181</v>
      </c>
      <c r="B21" s="39">
        <v>34</v>
      </c>
      <c r="C21" s="39">
        <v>11.764705882352942</v>
      </c>
      <c r="D21" s="39">
        <v>63205.088235294119</v>
      </c>
    </row>
    <row r="22" spans="1:4" x14ac:dyDescent="0.35">
      <c r="A22" s="41" t="s">
        <v>180</v>
      </c>
      <c r="B22" s="39">
        <v>32</v>
      </c>
      <c r="C22" s="39">
        <v>15.1875</v>
      </c>
      <c r="D22" s="39">
        <v>68850.34375</v>
      </c>
    </row>
    <row r="23" spans="1:4" x14ac:dyDescent="0.35">
      <c r="A23" s="41" t="s">
        <v>179</v>
      </c>
      <c r="B23" s="39">
        <v>35</v>
      </c>
      <c r="C23" s="39">
        <v>11.628571428571428</v>
      </c>
      <c r="D23" s="39">
        <v>68332.800000000003</v>
      </c>
    </row>
    <row r="24" spans="1:4" x14ac:dyDescent="0.35">
      <c r="A24" s="41" t="s">
        <v>178</v>
      </c>
      <c r="B24" s="39">
        <v>49</v>
      </c>
      <c r="C24" s="39">
        <v>16.510204081632654</v>
      </c>
      <c r="D24" s="39">
        <v>65148.020408163262</v>
      </c>
    </row>
    <row r="25" spans="1:4" x14ac:dyDescent="0.35">
      <c r="A25" s="41" t="s">
        <v>432</v>
      </c>
      <c r="B25" s="39">
        <v>150</v>
      </c>
      <c r="C25" s="39">
        <v>14.013333333333334</v>
      </c>
      <c r="D25" s="39">
        <v>66240.566666666666</v>
      </c>
    </row>
    <row r="28" spans="1:4" x14ac:dyDescent="0.35">
      <c r="A28" s="38" t="s">
        <v>430</v>
      </c>
      <c r="B28" s="39" t="s">
        <v>433</v>
      </c>
      <c r="C28" s="39" t="s">
        <v>431</v>
      </c>
      <c r="D28" s="39" t="s">
        <v>435</v>
      </c>
    </row>
    <row r="29" spans="1:4" x14ac:dyDescent="0.35">
      <c r="A29" s="2" t="s">
        <v>160</v>
      </c>
      <c r="B29" s="39">
        <v>260</v>
      </c>
      <c r="C29" s="39">
        <v>1277032</v>
      </c>
      <c r="D29" s="39">
        <v>58</v>
      </c>
    </row>
    <row r="30" spans="1:4" x14ac:dyDescent="0.35">
      <c r="A30" s="2" t="s">
        <v>165</v>
      </c>
      <c r="B30" s="39">
        <v>373</v>
      </c>
      <c r="C30" s="39">
        <v>1450471</v>
      </c>
      <c r="D30" s="39">
        <v>61</v>
      </c>
    </row>
    <row r="31" spans="1:4" x14ac:dyDescent="0.35">
      <c r="A31" s="2" t="s">
        <v>164</v>
      </c>
      <c r="B31" s="39">
        <v>299</v>
      </c>
      <c r="C31" s="39">
        <v>1569004</v>
      </c>
      <c r="D31" s="39">
        <v>78</v>
      </c>
    </row>
    <row r="32" spans="1:4" x14ac:dyDescent="0.35">
      <c r="A32" s="2" t="s">
        <v>159</v>
      </c>
      <c r="B32" s="39">
        <v>345</v>
      </c>
      <c r="C32" s="39">
        <v>1472582</v>
      </c>
      <c r="D32" s="39">
        <v>68</v>
      </c>
    </row>
    <row r="33" spans="1:4" x14ac:dyDescent="0.35">
      <c r="A33" s="2" t="s">
        <v>162</v>
      </c>
      <c r="B33" s="39">
        <v>218</v>
      </c>
      <c r="C33" s="39">
        <v>997236</v>
      </c>
      <c r="D33" s="39">
        <v>41</v>
      </c>
    </row>
    <row r="34" spans="1:4" x14ac:dyDescent="0.35">
      <c r="A34" s="2" t="s">
        <v>161</v>
      </c>
      <c r="B34" s="39">
        <v>239</v>
      </c>
      <c r="C34" s="39">
        <v>921521</v>
      </c>
      <c r="D34" s="39">
        <v>33</v>
      </c>
    </row>
    <row r="35" spans="1:4" x14ac:dyDescent="0.35">
      <c r="A35" s="2" t="s">
        <v>163</v>
      </c>
      <c r="B35" s="39">
        <v>278</v>
      </c>
      <c r="C35" s="39">
        <v>1534999</v>
      </c>
      <c r="D35" s="39">
        <v>66</v>
      </c>
    </row>
    <row r="36" spans="1:4" x14ac:dyDescent="0.35">
      <c r="A36" s="2" t="s">
        <v>178</v>
      </c>
      <c r="B36" s="39">
        <v>90</v>
      </c>
      <c r="C36" s="39">
        <v>713240</v>
      </c>
      <c r="D36" s="39">
        <v>29</v>
      </c>
    </row>
    <row r="37" spans="1:4" x14ac:dyDescent="0.35">
      <c r="A37" s="2" t="s">
        <v>432</v>
      </c>
      <c r="B37" s="39">
        <v>2102</v>
      </c>
      <c r="C37" s="39">
        <v>9936085</v>
      </c>
      <c r="D37" s="39">
        <v>434</v>
      </c>
    </row>
    <row r="40" spans="1:4" x14ac:dyDescent="0.35">
      <c r="A40" s="38" t="s">
        <v>430</v>
      </c>
      <c r="B40" s="25" t="s">
        <v>440</v>
      </c>
    </row>
    <row r="41" spans="1:4" x14ac:dyDescent="0.35">
      <c r="A41" s="2" t="s">
        <v>345</v>
      </c>
      <c r="B41" s="39">
        <v>61609.84210526316</v>
      </c>
    </row>
    <row r="42" spans="1:4" x14ac:dyDescent="0.35">
      <c r="A42" s="2" t="s">
        <v>341</v>
      </c>
      <c r="B42" s="39">
        <v>65801.217391304352</v>
      </c>
    </row>
    <row r="43" spans="1:4" x14ac:dyDescent="0.35">
      <c r="A43" s="2" t="s">
        <v>343</v>
      </c>
      <c r="B43" s="39">
        <v>66802.75</v>
      </c>
    </row>
    <row r="44" spans="1:4" x14ac:dyDescent="0.35">
      <c r="A44" s="2" t="s">
        <v>344</v>
      </c>
      <c r="B44" s="39">
        <v>62118</v>
      </c>
    </row>
    <row r="45" spans="1:4" x14ac:dyDescent="0.35">
      <c r="A45" s="2" t="s">
        <v>340</v>
      </c>
      <c r="B45" s="39">
        <v>70447.387096774197</v>
      </c>
    </row>
    <row r="46" spans="1:4" x14ac:dyDescent="0.35">
      <c r="A46" s="2" t="s">
        <v>342</v>
      </c>
      <c r="B46" s="39">
        <v>68532.25</v>
      </c>
    </row>
    <row r="47" spans="1:4" x14ac:dyDescent="0.35">
      <c r="A47" s="2" t="s">
        <v>432</v>
      </c>
      <c r="B47" s="39">
        <v>66240.566666666666</v>
      </c>
    </row>
    <row r="50" spans="1:2" x14ac:dyDescent="0.35">
      <c r="A50" s="38" t="s">
        <v>430</v>
      </c>
      <c r="B50" s="25" t="s">
        <v>431</v>
      </c>
    </row>
    <row r="51" spans="1:2" x14ac:dyDescent="0.35">
      <c r="A51" s="2" t="s">
        <v>160</v>
      </c>
      <c r="B51" s="39">
        <v>1277032</v>
      </c>
    </row>
    <row r="52" spans="1:2" x14ac:dyDescent="0.35">
      <c r="A52" s="2" t="s">
        <v>165</v>
      </c>
      <c r="B52" s="39">
        <v>1450471</v>
      </c>
    </row>
    <row r="53" spans="1:2" x14ac:dyDescent="0.35">
      <c r="A53" s="2" t="s">
        <v>164</v>
      </c>
      <c r="B53" s="39">
        <v>1569004</v>
      </c>
    </row>
    <row r="54" spans="1:2" x14ac:dyDescent="0.35">
      <c r="A54" s="2" t="s">
        <v>159</v>
      </c>
      <c r="B54" s="39">
        <v>1472582</v>
      </c>
    </row>
    <row r="55" spans="1:2" x14ac:dyDescent="0.35">
      <c r="A55" s="2" t="s">
        <v>162</v>
      </c>
      <c r="B55" s="39">
        <v>997236</v>
      </c>
    </row>
    <row r="56" spans="1:2" x14ac:dyDescent="0.35">
      <c r="A56" s="2" t="s">
        <v>161</v>
      </c>
      <c r="B56" s="39">
        <v>921521</v>
      </c>
    </row>
    <row r="57" spans="1:2" x14ac:dyDescent="0.35">
      <c r="A57" s="2" t="s">
        <v>163</v>
      </c>
      <c r="B57" s="39">
        <v>1534999</v>
      </c>
    </row>
    <row r="58" spans="1:2" x14ac:dyDescent="0.35">
      <c r="A58" s="2" t="s">
        <v>178</v>
      </c>
      <c r="B58" s="39">
        <v>713240</v>
      </c>
    </row>
    <row r="59" spans="1:2" x14ac:dyDescent="0.35">
      <c r="A59" s="2" t="s">
        <v>432</v>
      </c>
      <c r="B59" s="39">
        <v>9936085</v>
      </c>
    </row>
    <row r="62" spans="1:2" x14ac:dyDescent="0.35">
      <c r="A62" s="38" t="s">
        <v>430</v>
      </c>
      <c r="B62" s="25" t="s">
        <v>435</v>
      </c>
    </row>
    <row r="63" spans="1:2" x14ac:dyDescent="0.35">
      <c r="A63" s="2" t="s">
        <v>345</v>
      </c>
      <c r="B63" s="76">
        <v>50</v>
      </c>
    </row>
    <row r="64" spans="1:2" x14ac:dyDescent="0.35">
      <c r="A64" s="2" t="s">
        <v>341</v>
      </c>
      <c r="B64" s="76">
        <v>69</v>
      </c>
    </row>
    <row r="65" spans="1:2" x14ac:dyDescent="0.35">
      <c r="A65" s="2" t="s">
        <v>343</v>
      </c>
      <c r="B65" s="76">
        <v>87</v>
      </c>
    </row>
    <row r="66" spans="1:2" x14ac:dyDescent="0.35">
      <c r="A66" s="2" t="s">
        <v>344</v>
      </c>
      <c r="B66" s="76">
        <v>75</v>
      </c>
    </row>
    <row r="67" spans="1:2" x14ac:dyDescent="0.35">
      <c r="A67" s="2" t="s">
        <v>340</v>
      </c>
      <c r="B67" s="76">
        <v>82</v>
      </c>
    </row>
    <row r="68" spans="1:2" x14ac:dyDescent="0.35">
      <c r="A68" s="2" t="s">
        <v>342</v>
      </c>
      <c r="B68" s="76">
        <v>71</v>
      </c>
    </row>
    <row r="69" spans="1:2" x14ac:dyDescent="0.35">
      <c r="A69" s="2" t="s">
        <v>432</v>
      </c>
      <c r="B69" s="76">
        <v>434</v>
      </c>
    </row>
    <row r="72" spans="1:2" x14ac:dyDescent="0.35">
      <c r="A72" s="38" t="s">
        <v>430</v>
      </c>
      <c r="B72" s="25" t="s">
        <v>435</v>
      </c>
    </row>
    <row r="73" spans="1:2" x14ac:dyDescent="0.35">
      <c r="A73" s="2" t="s">
        <v>160</v>
      </c>
      <c r="B73" s="76">
        <v>58</v>
      </c>
    </row>
    <row r="74" spans="1:2" x14ac:dyDescent="0.35">
      <c r="A74" s="2" t="s">
        <v>165</v>
      </c>
      <c r="B74" s="76">
        <v>61</v>
      </c>
    </row>
    <row r="75" spans="1:2" x14ac:dyDescent="0.35">
      <c r="A75" s="2" t="s">
        <v>164</v>
      </c>
      <c r="B75" s="76">
        <v>78</v>
      </c>
    </row>
    <row r="76" spans="1:2" x14ac:dyDescent="0.35">
      <c r="A76" s="2" t="s">
        <v>159</v>
      </c>
      <c r="B76" s="76">
        <v>68</v>
      </c>
    </row>
    <row r="77" spans="1:2" x14ac:dyDescent="0.35">
      <c r="A77" s="2" t="s">
        <v>162</v>
      </c>
      <c r="B77" s="76">
        <v>41</v>
      </c>
    </row>
    <row r="78" spans="1:2" x14ac:dyDescent="0.35">
      <c r="A78" s="2" t="s">
        <v>161</v>
      </c>
      <c r="B78" s="76">
        <v>33</v>
      </c>
    </row>
    <row r="79" spans="1:2" x14ac:dyDescent="0.35">
      <c r="A79" s="2" t="s">
        <v>163</v>
      </c>
      <c r="B79" s="76">
        <v>66</v>
      </c>
    </row>
    <row r="80" spans="1:2" x14ac:dyDescent="0.35">
      <c r="A80" s="2" t="s">
        <v>178</v>
      </c>
      <c r="B80" s="76">
        <v>29</v>
      </c>
    </row>
    <row r="81" spans="1:12" x14ac:dyDescent="0.35">
      <c r="A81" s="2" t="s">
        <v>432</v>
      </c>
      <c r="B81" s="76">
        <v>434</v>
      </c>
    </row>
    <row r="84" spans="1:12" x14ac:dyDescent="0.35">
      <c r="A84" s="38" t="s">
        <v>430</v>
      </c>
      <c r="B84" s="25" t="s">
        <v>431</v>
      </c>
      <c r="C84" s="25" t="s">
        <v>433</v>
      </c>
      <c r="D84" s="25" t="s">
        <v>435</v>
      </c>
    </row>
    <row r="85" spans="1:12" x14ac:dyDescent="0.35">
      <c r="A85" s="2" t="s">
        <v>335</v>
      </c>
      <c r="B85" s="39">
        <v>1443301</v>
      </c>
      <c r="C85" s="39">
        <v>291</v>
      </c>
      <c r="D85" s="39">
        <v>58</v>
      </c>
    </row>
    <row r="86" spans="1:12" x14ac:dyDescent="0.35">
      <c r="A86" s="2" t="s">
        <v>167</v>
      </c>
      <c r="B86" s="39">
        <v>1628030</v>
      </c>
      <c r="C86" s="39">
        <v>286</v>
      </c>
      <c r="D86" s="39">
        <v>66</v>
      </c>
    </row>
    <row r="87" spans="1:12" x14ac:dyDescent="0.35">
      <c r="A87" s="2" t="s">
        <v>169</v>
      </c>
      <c r="B87" s="39">
        <v>1653938</v>
      </c>
      <c r="C87" s="39">
        <v>293</v>
      </c>
      <c r="D87" s="39">
        <v>74</v>
      </c>
    </row>
    <row r="88" spans="1:12" x14ac:dyDescent="0.35">
      <c r="A88" s="2" t="s">
        <v>337</v>
      </c>
      <c r="B88" s="39">
        <v>1846915</v>
      </c>
      <c r="C88" s="39">
        <v>413</v>
      </c>
      <c r="D88" s="39">
        <v>97</v>
      </c>
    </row>
    <row r="89" spans="1:12" x14ac:dyDescent="0.35">
      <c r="A89" s="2" t="s">
        <v>336</v>
      </c>
      <c r="B89" s="39">
        <v>1766156</v>
      </c>
      <c r="C89" s="39">
        <v>419</v>
      </c>
      <c r="D89" s="39">
        <v>72</v>
      </c>
    </row>
    <row r="90" spans="1:12" x14ac:dyDescent="0.35">
      <c r="A90" s="2" t="s">
        <v>338</v>
      </c>
      <c r="B90" s="39">
        <v>1597745</v>
      </c>
      <c r="C90" s="39">
        <v>400</v>
      </c>
      <c r="D90" s="39">
        <v>67</v>
      </c>
    </row>
    <row r="91" spans="1:12" x14ac:dyDescent="0.35">
      <c r="A91" s="2" t="s">
        <v>432</v>
      </c>
      <c r="B91" s="39">
        <v>9936085</v>
      </c>
      <c r="C91" s="39">
        <v>2102</v>
      </c>
      <c r="D91" s="39">
        <v>434</v>
      </c>
    </row>
    <row r="92" spans="1:12" x14ac:dyDescent="0.35">
      <c r="B92" s="42"/>
      <c r="C92" s="42"/>
      <c r="D92" s="42"/>
    </row>
    <row r="93" spans="1:12" x14ac:dyDescent="0.35">
      <c r="E93" s="30" t="s">
        <v>415</v>
      </c>
      <c r="F93" s="25">
        <v>1</v>
      </c>
      <c r="G93" s="71" t="s">
        <v>437</v>
      </c>
      <c r="H93" s="71"/>
      <c r="I93" s="71"/>
      <c r="J93" s="71"/>
      <c r="K93" s="71"/>
      <c r="L93" s="71"/>
    </row>
    <row r="94" spans="1:12" x14ac:dyDescent="0.35">
      <c r="F94" s="25">
        <v>2</v>
      </c>
      <c r="G94" s="71" t="s">
        <v>439</v>
      </c>
      <c r="H94" s="71"/>
      <c r="I94" s="71"/>
      <c r="J94" s="71"/>
      <c r="K94" s="71"/>
      <c r="L94" s="71"/>
    </row>
    <row r="95" spans="1:12" x14ac:dyDescent="0.35">
      <c r="F95" s="25">
        <v>3</v>
      </c>
      <c r="G95" s="71" t="s">
        <v>441</v>
      </c>
      <c r="H95" s="71"/>
      <c r="I95" s="71"/>
      <c r="J95" s="71"/>
      <c r="K95" s="71"/>
      <c r="L95" s="71"/>
    </row>
    <row r="96" spans="1:12" x14ac:dyDescent="0.35">
      <c r="F96" s="25">
        <v>4</v>
      </c>
      <c r="G96" s="71" t="s">
        <v>442</v>
      </c>
      <c r="H96" s="71"/>
      <c r="I96" s="71"/>
      <c r="J96" s="71"/>
      <c r="K96" s="71"/>
      <c r="L96" s="71"/>
    </row>
    <row r="97" spans="6:12" x14ac:dyDescent="0.35">
      <c r="F97" s="25">
        <v>5</v>
      </c>
      <c r="G97" s="71" t="s">
        <v>443</v>
      </c>
      <c r="H97" s="71"/>
      <c r="I97" s="71"/>
      <c r="J97" s="71"/>
      <c r="K97" s="71"/>
      <c r="L97" s="71"/>
    </row>
    <row r="98" spans="6:12" x14ac:dyDescent="0.35">
      <c r="F98" s="25">
        <v>6</v>
      </c>
      <c r="G98" s="71" t="s">
        <v>444</v>
      </c>
      <c r="H98" s="71"/>
      <c r="I98" s="71"/>
      <c r="J98" s="71"/>
      <c r="K98" s="71"/>
      <c r="L98" s="71"/>
    </row>
    <row r="99" spans="6:12" x14ac:dyDescent="0.35">
      <c r="F99" s="25">
        <v>7</v>
      </c>
      <c r="G99" s="71" t="s">
        <v>445</v>
      </c>
      <c r="H99" s="71"/>
      <c r="I99" s="71"/>
      <c r="J99" s="71"/>
      <c r="K99" s="71"/>
      <c r="L99" s="71"/>
    </row>
    <row r="100" spans="6:12" x14ac:dyDescent="0.35">
      <c r="F100" s="25">
        <v>8</v>
      </c>
      <c r="G100" s="71" t="s">
        <v>446</v>
      </c>
      <c r="H100" s="71"/>
      <c r="I100" s="71"/>
      <c r="J100" s="71"/>
      <c r="K100" s="71"/>
      <c r="L100" s="71"/>
    </row>
    <row r="101" spans="6:12" x14ac:dyDescent="0.35">
      <c r="F101" s="25">
        <v>9</v>
      </c>
      <c r="G101" s="71" t="s">
        <v>447</v>
      </c>
      <c r="H101" s="71"/>
      <c r="I101" s="71"/>
      <c r="J101" s="71"/>
      <c r="K101" s="71"/>
      <c r="L101" s="71"/>
    </row>
  </sheetData>
  <mergeCells count="9">
    <mergeCell ref="G99:L99"/>
    <mergeCell ref="G100:L100"/>
    <mergeCell ref="G101:L101"/>
    <mergeCell ref="G93:L93"/>
    <mergeCell ref="G94:L94"/>
    <mergeCell ref="G95:L95"/>
    <mergeCell ref="G96:L96"/>
    <mergeCell ref="G97:L97"/>
    <mergeCell ref="G98:L98"/>
  </mergeCells>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86D15-4338-465D-8981-CB6327F6AD58}">
  <sheetPr>
    <pageSetUpPr fitToPage="1"/>
  </sheetPr>
  <dimension ref="A1:AD3"/>
  <sheetViews>
    <sheetView showGridLines="0" workbookViewId="0">
      <selection sqref="A1:AD3"/>
    </sheetView>
  </sheetViews>
  <sheetFormatPr defaultRowHeight="14.5" x14ac:dyDescent="0.35"/>
  <cols>
    <col min="27" max="27" width="10.90625" customWidth="1"/>
    <col min="30" max="30" width="3.54296875" customWidth="1"/>
  </cols>
  <sheetData>
    <row r="1" spans="1:30" ht="14.5" customHeight="1" x14ac:dyDescent="0.35">
      <c r="A1" s="72" t="s">
        <v>448</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row>
    <row r="2" spans="1:30" ht="14.5" customHeight="1" x14ac:dyDescent="0.35">
      <c r="A2" s="72"/>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row>
    <row r="3" spans="1:30" ht="14.5" customHeight="1" x14ac:dyDescent="0.35">
      <c r="A3" s="72"/>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row>
  </sheetData>
  <mergeCells count="1">
    <mergeCell ref="A1:AD3"/>
  </mergeCells>
  <pageMargins left="0.15" right="0.03" top="2.12" bottom="0.75" header="0.3" footer="0.3"/>
  <pageSetup paperSize="8" scale="77" fitToHeight="0"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240F-22A2-4E80-8415-22752E9E2899}">
  <dimension ref="B13:M132"/>
  <sheetViews>
    <sheetView tabSelected="1" topLeftCell="A108" workbookViewId="0">
      <selection activeCell="G127" sqref="G127"/>
    </sheetView>
  </sheetViews>
  <sheetFormatPr defaultRowHeight="14.5" x14ac:dyDescent="0.35"/>
  <cols>
    <col min="2" max="2" width="17.453125" bestFit="1" customWidth="1"/>
    <col min="3" max="3" width="23" bestFit="1" customWidth="1"/>
  </cols>
  <sheetData>
    <row r="13" spans="2:9" ht="18.5" x14ac:dyDescent="0.35">
      <c r="B13" s="30" t="s">
        <v>312</v>
      </c>
      <c r="C13" s="45" t="s">
        <v>0</v>
      </c>
    </row>
    <row r="14" spans="2:9" ht="18.5" x14ac:dyDescent="0.35">
      <c r="B14" s="30" t="s">
        <v>330</v>
      </c>
      <c r="C14" s="45" t="s">
        <v>1</v>
      </c>
      <c r="D14" s="61" t="s">
        <v>311</v>
      </c>
      <c r="E14" s="61"/>
      <c r="F14" s="61"/>
      <c r="G14" s="61"/>
      <c r="H14" s="61"/>
      <c r="I14" s="61"/>
    </row>
    <row r="15" spans="2:9" ht="18.5" x14ac:dyDescent="0.35">
      <c r="C15" s="46" t="s">
        <v>2</v>
      </c>
      <c r="D15" s="61" t="s">
        <v>334</v>
      </c>
      <c r="E15" s="61"/>
      <c r="F15" s="61"/>
      <c r="G15" s="61"/>
      <c r="H15" s="61"/>
      <c r="I15" s="61"/>
    </row>
    <row r="16" spans="2:9" ht="18.5" x14ac:dyDescent="0.35">
      <c r="B16" s="30" t="s">
        <v>353</v>
      </c>
      <c r="C16" s="45" t="s">
        <v>3</v>
      </c>
      <c r="D16" s="61" t="s">
        <v>339</v>
      </c>
      <c r="E16" s="61"/>
      <c r="F16" s="61"/>
      <c r="G16" s="73"/>
      <c r="H16" s="73"/>
      <c r="I16" s="73"/>
    </row>
    <row r="17" spans="2:13" ht="18.5" x14ac:dyDescent="0.35">
      <c r="C17" s="48" t="s">
        <v>4</v>
      </c>
      <c r="D17" s="61" t="s">
        <v>302</v>
      </c>
      <c r="E17" s="61"/>
      <c r="F17" s="61"/>
      <c r="G17" s="61" t="s">
        <v>303</v>
      </c>
      <c r="H17" s="61"/>
      <c r="I17" s="61"/>
      <c r="J17" s="61"/>
      <c r="K17" s="61"/>
      <c r="L17" s="61"/>
      <c r="M17" s="61"/>
    </row>
    <row r="18" spans="2:13" ht="18.5" x14ac:dyDescent="0.35">
      <c r="C18" s="45" t="s">
        <v>5</v>
      </c>
      <c r="D18" s="73" t="s">
        <v>449</v>
      </c>
      <c r="E18" s="73"/>
      <c r="F18" s="73"/>
      <c r="G18" s="74"/>
      <c r="H18" s="74"/>
      <c r="I18" s="74"/>
    </row>
    <row r="19" spans="2:13" ht="37" x14ac:dyDescent="0.35">
      <c r="C19" s="46" t="s">
        <v>6</v>
      </c>
      <c r="D19" s="61" t="s">
        <v>307</v>
      </c>
      <c r="E19" s="61"/>
      <c r="F19" s="61"/>
      <c r="G19" s="61"/>
      <c r="H19" s="61"/>
      <c r="I19" s="61"/>
      <c r="J19" s="61"/>
    </row>
    <row r="20" spans="2:13" ht="18.5" x14ac:dyDescent="0.35">
      <c r="C20" s="46" t="s">
        <v>7</v>
      </c>
      <c r="D20" s="74" t="s">
        <v>450</v>
      </c>
      <c r="E20" s="74"/>
      <c r="F20" s="74"/>
      <c r="G20" s="74"/>
      <c r="H20" s="74"/>
      <c r="I20" s="74"/>
    </row>
    <row r="21" spans="2:13" ht="18.5" x14ac:dyDescent="0.35">
      <c r="C21" s="45" t="s">
        <v>8</v>
      </c>
      <c r="D21" s="61" t="s">
        <v>408</v>
      </c>
      <c r="E21" s="61"/>
      <c r="F21" s="61"/>
      <c r="G21" s="61"/>
      <c r="H21" s="61"/>
      <c r="I21" s="61"/>
      <c r="J21" s="61"/>
      <c r="K21" s="61"/>
      <c r="L21" s="61"/>
    </row>
    <row r="22" spans="2:13" ht="18.5" x14ac:dyDescent="0.35">
      <c r="B22" s="32"/>
      <c r="C22" s="47" t="s">
        <v>401</v>
      </c>
      <c r="D22" s="75" t="s">
        <v>399</v>
      </c>
      <c r="E22" s="75"/>
      <c r="F22" s="75"/>
      <c r="G22" s="75"/>
      <c r="H22" s="75"/>
      <c r="I22" s="75"/>
      <c r="J22" s="75"/>
    </row>
    <row r="24" spans="2:13" x14ac:dyDescent="0.35">
      <c r="B24" s="30" t="s">
        <v>314</v>
      </c>
      <c r="C24" s="25" t="s">
        <v>451</v>
      </c>
      <c r="D24" s="61" t="s">
        <v>458</v>
      </c>
      <c r="E24" s="61"/>
      <c r="F24" s="61"/>
      <c r="G24" s="61"/>
      <c r="H24" s="61"/>
      <c r="I24" s="61"/>
    </row>
    <row r="25" spans="2:13" x14ac:dyDescent="0.35">
      <c r="C25" s="25" t="s">
        <v>452</v>
      </c>
      <c r="D25" s="61" t="s">
        <v>457</v>
      </c>
      <c r="E25" s="61"/>
      <c r="F25" s="61"/>
      <c r="G25" s="61"/>
      <c r="H25" s="61"/>
      <c r="I25" s="61"/>
    </row>
    <row r="26" spans="2:13" x14ac:dyDescent="0.35">
      <c r="C26" s="25" t="s">
        <v>453</v>
      </c>
      <c r="D26" s="61" t="s">
        <v>459</v>
      </c>
      <c r="E26" s="61"/>
      <c r="F26" s="61"/>
      <c r="G26" s="61"/>
      <c r="H26" s="61"/>
      <c r="I26" s="61"/>
    </row>
    <row r="27" spans="2:13" x14ac:dyDescent="0.35">
      <c r="C27" s="25" t="s">
        <v>454</v>
      </c>
      <c r="D27" s="61" t="s">
        <v>460</v>
      </c>
      <c r="E27" s="61"/>
      <c r="F27" s="61"/>
      <c r="G27" s="61"/>
      <c r="H27" s="61"/>
      <c r="I27" s="61"/>
    </row>
    <row r="28" spans="2:13" x14ac:dyDescent="0.35">
      <c r="C28" s="25" t="s">
        <v>455</v>
      </c>
      <c r="D28" s="61" t="s">
        <v>461</v>
      </c>
      <c r="E28" s="61"/>
      <c r="F28" s="61"/>
      <c r="G28" s="61"/>
      <c r="H28" s="61"/>
      <c r="I28" s="61"/>
    </row>
    <row r="29" spans="2:13" ht="58" x14ac:dyDescent="0.35">
      <c r="B29" s="30" t="s">
        <v>329</v>
      </c>
      <c r="C29" s="49" t="s">
        <v>456</v>
      </c>
      <c r="D29" s="18" t="s">
        <v>462</v>
      </c>
      <c r="E29" s="8" t="s">
        <v>463</v>
      </c>
      <c r="F29" s="18" t="s">
        <v>348</v>
      </c>
      <c r="G29" s="8" t="s">
        <v>464</v>
      </c>
      <c r="H29" s="18" t="s">
        <v>349</v>
      </c>
      <c r="I29" s="18" t="s">
        <v>465</v>
      </c>
    </row>
    <row r="30" spans="2:13" x14ac:dyDescent="0.35">
      <c r="C30" s="25" t="s">
        <v>467</v>
      </c>
      <c r="D30" s="60" t="s">
        <v>466</v>
      </c>
      <c r="E30" s="60"/>
      <c r="F30" s="60"/>
      <c r="G30" s="60"/>
      <c r="H30" s="60"/>
      <c r="I30" s="60"/>
    </row>
    <row r="32" spans="2:13" x14ac:dyDescent="0.35">
      <c r="B32" s="30" t="s">
        <v>331</v>
      </c>
      <c r="C32" s="25" t="s">
        <v>470</v>
      </c>
    </row>
    <row r="47" spans="2:3" ht="29" x14ac:dyDescent="0.35">
      <c r="B47" s="30" t="s">
        <v>382</v>
      </c>
      <c r="C47" s="49" t="s">
        <v>469</v>
      </c>
    </row>
    <row r="63" spans="2:3" x14ac:dyDescent="0.35">
      <c r="B63" s="30" t="s">
        <v>383</v>
      </c>
      <c r="C63" s="25" t="s">
        <v>468</v>
      </c>
    </row>
    <row r="75" spans="2:3" ht="29" x14ac:dyDescent="0.35">
      <c r="B75" s="30" t="s">
        <v>384</v>
      </c>
      <c r="C75" s="44" t="s">
        <v>471</v>
      </c>
    </row>
    <row r="106" spans="2:12" x14ac:dyDescent="0.35">
      <c r="B106" s="33" t="s">
        <v>385</v>
      </c>
      <c r="C106" s="25" t="s">
        <v>406</v>
      </c>
      <c r="D106" s="61" t="s">
        <v>399</v>
      </c>
      <c r="E106" s="61"/>
      <c r="F106" s="61"/>
      <c r="G106" s="61"/>
      <c r="H106" s="61"/>
      <c r="I106" s="61"/>
      <c r="J106" s="61"/>
    </row>
    <row r="108" spans="2:12" ht="29" x14ac:dyDescent="0.35">
      <c r="B108" s="30" t="s">
        <v>386</v>
      </c>
      <c r="C108" s="50" t="s">
        <v>472</v>
      </c>
      <c r="D108" s="61" t="s">
        <v>407</v>
      </c>
      <c r="E108" s="61"/>
      <c r="F108" s="61"/>
      <c r="G108" s="61"/>
      <c r="H108" s="61"/>
      <c r="I108" s="61"/>
      <c r="J108" s="61"/>
    </row>
    <row r="110" spans="2:12" ht="72.5" x14ac:dyDescent="0.35">
      <c r="B110" s="33" t="s">
        <v>387</v>
      </c>
      <c r="C110" s="8" t="s">
        <v>473</v>
      </c>
      <c r="D110" s="61" t="s">
        <v>408</v>
      </c>
      <c r="E110" s="61"/>
      <c r="F110" s="61"/>
      <c r="G110" s="61"/>
      <c r="H110" s="61"/>
      <c r="I110" s="61"/>
      <c r="J110" s="61"/>
      <c r="K110" s="61"/>
      <c r="L110" s="61"/>
    </row>
    <row r="112" spans="2:12" x14ac:dyDescent="0.35">
      <c r="B112" s="33" t="s">
        <v>414</v>
      </c>
      <c r="C112" s="25" t="s">
        <v>474</v>
      </c>
    </row>
    <row r="114" spans="2:9" x14ac:dyDescent="0.35">
      <c r="B114" s="30" t="s">
        <v>415</v>
      </c>
      <c r="C114" s="25">
        <v>1</v>
      </c>
      <c r="D114" s="71" t="s">
        <v>437</v>
      </c>
      <c r="E114" s="71"/>
      <c r="F114" s="71"/>
      <c r="G114" s="71"/>
      <c r="H114" s="71"/>
      <c r="I114" s="71"/>
    </row>
    <row r="115" spans="2:9" x14ac:dyDescent="0.35">
      <c r="C115" s="25">
        <v>2</v>
      </c>
      <c r="D115" s="71" t="s">
        <v>439</v>
      </c>
      <c r="E115" s="71"/>
      <c r="F115" s="71"/>
      <c r="G115" s="71"/>
      <c r="H115" s="71"/>
      <c r="I115" s="71"/>
    </row>
    <row r="116" spans="2:9" x14ac:dyDescent="0.35">
      <c r="C116" s="25">
        <v>3</v>
      </c>
      <c r="D116" s="71" t="s">
        <v>441</v>
      </c>
      <c r="E116" s="71"/>
      <c r="F116" s="71"/>
      <c r="G116" s="71"/>
      <c r="H116" s="71"/>
      <c r="I116" s="71"/>
    </row>
    <row r="117" spans="2:9" x14ac:dyDescent="0.35">
      <c r="C117" s="25">
        <v>4</v>
      </c>
      <c r="D117" s="71" t="s">
        <v>442</v>
      </c>
      <c r="E117" s="71"/>
      <c r="F117" s="71"/>
      <c r="G117" s="71"/>
      <c r="H117" s="71"/>
      <c r="I117" s="71"/>
    </row>
    <row r="118" spans="2:9" x14ac:dyDescent="0.35">
      <c r="C118" s="25">
        <v>5</v>
      </c>
      <c r="D118" s="71" t="s">
        <v>443</v>
      </c>
      <c r="E118" s="71"/>
      <c r="F118" s="71"/>
      <c r="G118" s="71"/>
      <c r="H118" s="71"/>
      <c r="I118" s="71"/>
    </row>
    <row r="119" spans="2:9" x14ac:dyDescent="0.35">
      <c r="C119" s="25">
        <v>6</v>
      </c>
      <c r="D119" s="71" t="s">
        <v>444</v>
      </c>
      <c r="E119" s="71"/>
      <c r="F119" s="71"/>
      <c r="G119" s="71"/>
      <c r="H119" s="71"/>
      <c r="I119" s="71"/>
    </row>
    <row r="120" spans="2:9" x14ac:dyDescent="0.35">
      <c r="C120" s="25">
        <v>7</v>
      </c>
      <c r="D120" s="71" t="s">
        <v>445</v>
      </c>
      <c r="E120" s="71"/>
      <c r="F120" s="71"/>
      <c r="G120" s="71"/>
      <c r="H120" s="71"/>
      <c r="I120" s="71"/>
    </row>
    <row r="121" spans="2:9" x14ac:dyDescent="0.35">
      <c r="C121" s="25">
        <v>8</v>
      </c>
      <c r="D121" s="71" t="s">
        <v>446</v>
      </c>
      <c r="E121" s="71"/>
      <c r="F121" s="71"/>
      <c r="G121" s="71"/>
      <c r="H121" s="71"/>
      <c r="I121" s="71"/>
    </row>
    <row r="122" spans="2:9" x14ac:dyDescent="0.35">
      <c r="C122" s="25">
        <v>9</v>
      </c>
      <c r="D122" s="71" t="s">
        <v>447</v>
      </c>
      <c r="E122" s="71"/>
      <c r="F122" s="71"/>
      <c r="G122" s="71"/>
      <c r="H122" s="71"/>
      <c r="I122" s="71"/>
    </row>
    <row r="124" spans="2:9" x14ac:dyDescent="0.35">
      <c r="B124" s="30" t="s">
        <v>416</v>
      </c>
      <c r="C124" s="25" t="s">
        <v>475</v>
      </c>
    </row>
    <row r="126" spans="2:9" ht="29" x14ac:dyDescent="0.35">
      <c r="B126" s="30" t="s">
        <v>417</v>
      </c>
      <c r="C126" s="49" t="s">
        <v>477</v>
      </c>
    </row>
    <row r="128" spans="2:9" ht="43.5" x14ac:dyDescent="0.35">
      <c r="B128" s="30" t="s">
        <v>418</v>
      </c>
      <c r="C128" s="8" t="s">
        <v>476</v>
      </c>
    </row>
    <row r="130" spans="2:3" x14ac:dyDescent="0.35">
      <c r="B130" s="30" t="s">
        <v>419</v>
      </c>
      <c r="C130" s="25" t="s">
        <v>478</v>
      </c>
    </row>
    <row r="132" spans="2:3" x14ac:dyDescent="0.35">
      <c r="B132" s="30" t="s">
        <v>420</v>
      </c>
      <c r="C132" s="25" t="s">
        <v>479</v>
      </c>
    </row>
  </sheetData>
  <mergeCells count="28">
    <mergeCell ref="D110:L110"/>
    <mergeCell ref="D25:I25"/>
    <mergeCell ref="D24:I24"/>
    <mergeCell ref="D26:I26"/>
    <mergeCell ref="D27:I27"/>
    <mergeCell ref="D28:I28"/>
    <mergeCell ref="D30:I30"/>
    <mergeCell ref="D22:J22"/>
    <mergeCell ref="D21:L21"/>
    <mergeCell ref="D20:I20"/>
    <mergeCell ref="D106:J106"/>
    <mergeCell ref="D108:J108"/>
    <mergeCell ref="D120:I120"/>
    <mergeCell ref="D121:I121"/>
    <mergeCell ref="D122:I122"/>
    <mergeCell ref="D14:I14"/>
    <mergeCell ref="D15:I15"/>
    <mergeCell ref="D16:I16"/>
    <mergeCell ref="D114:I114"/>
    <mergeCell ref="D115:I115"/>
    <mergeCell ref="D116:I116"/>
    <mergeCell ref="D117:I117"/>
    <mergeCell ref="D118:I118"/>
    <mergeCell ref="D119:I119"/>
    <mergeCell ref="D17:F17"/>
    <mergeCell ref="G17:M17"/>
    <mergeCell ref="D18:I18"/>
    <mergeCell ref="D19:J1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E4A9D39-37A0-49BD-90CB-2B8052016375}">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39A690DC-42FF-4E1C-A18D-4FF9DCACACC6}">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Observation</vt:lpstr>
      <vt:lpstr>Week 1</vt:lpstr>
      <vt:lpstr>Week 2</vt:lpstr>
      <vt:lpstr>Week 3</vt:lpstr>
      <vt:lpstr>Pivot Table</vt:lpstr>
      <vt:lpstr>DashBoard</vt:lpstr>
      <vt:lpstr>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Mithuvashini Viswanathan</dc:creator>
  <cp:lastModifiedBy>Mithuvashini Viswanathan</cp:lastModifiedBy>
  <cp:lastPrinted>2025-11-23T17:17:21Z</cp:lastPrinted>
  <dcterms:created xsi:type="dcterms:W3CDTF">2025-05-31T18:11:07Z</dcterms:created>
  <dcterms:modified xsi:type="dcterms:W3CDTF">2025-11-24T16:56:34Z</dcterms:modified>
</cp:coreProperties>
</file>