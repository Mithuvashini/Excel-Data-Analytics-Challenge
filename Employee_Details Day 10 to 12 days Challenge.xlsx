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u\Desktop\Entri DA\Code Challange\"/>
    </mc:Choice>
  </mc:AlternateContent>
  <xr:revisionPtr revIDLastSave="0" documentId="13_ncr:1_{B3A8F1E9-A611-4B17-9295-2EFCEBCBA3F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aw Data" sheetId="1" r:id="rId1"/>
    <sheet name="Observation" sheetId="2" r:id="rId2"/>
    <sheet name="Week 1" sheetId="3" r:id="rId3"/>
    <sheet name="Week 2" sheetId="4" r:id="rId4"/>
  </sheets>
  <definedNames>
    <definedName name="_xlnm._FilterDatabase" localSheetId="0" hidden="1">'Raw Data'!$A$1:$I$1</definedName>
    <definedName name="_xlnm._FilterDatabase" localSheetId="2" hidden="1">'Week 1'!$A$2:$E$152</definedName>
    <definedName name="_xlnm._FilterDatabase" localSheetId="3" hidden="1">'Week 2'!$A$2:$M$152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3" l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4" i="4"/>
  <c r="M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I156" i="3"/>
  <c r="I157" i="3"/>
  <c r="I158" i="3"/>
  <c r="I155" i="3"/>
  <c r="G159" i="3"/>
  <c r="G157" i="3"/>
  <c r="D161" i="3"/>
  <c r="D160" i="3"/>
  <c r="D159" i="3"/>
  <c r="D158" i="3"/>
  <c r="D156" i="3"/>
  <c r="B161" i="3"/>
  <c r="B160" i="3"/>
  <c r="B159" i="3"/>
  <c r="B158" i="3"/>
  <c r="B156" i="3"/>
</calcChain>
</file>

<file path=xl/sharedStrings.xml><?xml version="1.0" encoding="utf-8"?>
<sst xmlns="http://schemas.openxmlformats.org/spreadsheetml/2006/main" count="3084" uniqueCount="410">
  <si>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</si>
  <si>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</si>
  <si>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</si>
  <si>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</si>
  <si>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</si>
  <si>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</si>
  <si>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</si>
  <si>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</si>
  <si>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</si>
  <si>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</si>
  <si>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</si>
  <si>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</si>
  <si>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</si>
  <si>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</si>
  <si>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</si>
  <si>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</si>
  <si>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</si>
  <si>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</si>
  <si>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</si>
  <si>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</si>
  <si>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</si>
  <si>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</si>
  <si>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</si>
  <si>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</si>
  <si>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</si>
  <si>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</si>
  <si>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</si>
  <si>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</si>
  <si>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</si>
  <si>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</si>
  <si>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</si>
  <si>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</si>
  <si>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</si>
  <si>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</si>
  <si>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</si>
  <si>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</si>
  <si>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</si>
  <si>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</si>
  <si>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</si>
  <si>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</si>
  <si>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</si>
  <si>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</si>
  <si>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</si>
  <si>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</si>
  <si>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</si>
  <si>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</si>
  <si>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</si>
  <si>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</si>
  <si>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</si>
  <si>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</si>
  <si>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</si>
  <si>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</si>
  <si>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</si>
  <si>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</si>
  <si>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</si>
  <si>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</si>
  <si>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</si>
  <si>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</si>
  <si>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</si>
  <si>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</si>
  <si>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</si>
  <si>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</si>
  <si>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</si>
  <si>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</si>
  <si>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</si>
  <si>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</si>
  <si>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</si>
  <si>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</si>
  <si>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</si>
  <si>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</si>
  <si>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</si>
  <si>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</si>
  <si>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</si>
  <si>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</si>
  <si>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</si>
  <si>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</si>
  <si>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</si>
  <si>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</si>
  <si>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</si>
  <si>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</si>
  <si>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</si>
  <si>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</si>
  <si>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</si>
  <si>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</si>
  <si>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</si>
  <si>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</si>
  <si>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</si>
  <si>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</si>
  <si>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</si>
  <si>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</si>
  <si>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</si>
  <si>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</si>
  <si>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</si>
  <si>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</si>
  <si>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</si>
  <si>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</si>
  <si>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</si>
  <si>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</si>
  <si>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</si>
  <si>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</si>
  <si>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</si>
  <si>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</si>
  <si>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</si>
  <si>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</si>
  <si>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</si>
  <si>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</si>
  <si>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</si>
  <si>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</si>
  <si>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</si>
  <si>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</si>
  <si>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</si>
  <si>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</si>
  <si>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</si>
  <si>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</si>
  <si>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</si>
  <si>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</si>
  <si>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</si>
  <si>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</si>
  <si>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</si>
  <si>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</si>
  <si>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</si>
  <si>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</si>
  <si>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</si>
  <si>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</si>
  <si>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</si>
  <si>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</si>
  <si>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</si>
  <si>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</si>
  <si>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</si>
  <si>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</si>
  <si>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</si>
  <si>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</si>
  <si>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</si>
  <si>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</si>
  <si>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</si>
  <si>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</si>
  <si>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</si>
  <si>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</si>
  <si>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</si>
  <si>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</si>
  <si>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</si>
  <si>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</si>
  <si>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</si>
  <si>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</si>
  <si>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</si>
  <si>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</si>
  <si>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</si>
  <si>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</si>
  <si>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</si>
  <si>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</si>
  <si>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</si>
  <si>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</si>
  <si>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</si>
  <si>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</si>
  <si>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</si>
  <si>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</si>
  <si>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</si>
  <si>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</si>
  <si>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</si>
  <si>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</si>
  <si>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</si>
  <si>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</si>
  <si>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</si>
  <si>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</si>
  <si>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</si>
  <si>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</si>
  <si>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</si>
  <si>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</si>
  <si>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</si>
  <si>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</si>
  <si>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</si>
  <si>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</si>
  <si>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</si>
  <si>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</si>
  <si>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</si>
  <si>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</si>
  <si>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</si>
  <si>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</si>
  <si>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</si>
  <si>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</si>
  <si>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</si>
  <si>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</si>
  <si>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</si>
  <si>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</si>
  <si>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</si>
  <si>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</si>
  <si>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</si>
  <si>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</si>
  <si>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</si>
  <si>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</si>
  <si>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</si>
  <si>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</si>
  <si>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</si>
  <si>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</si>
  <si>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</si>
  <si>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</si>
  <si>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</si>
  <si>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</si>
  <si>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</si>
  <si>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</si>
  <si>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</si>
  <si>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</si>
  <si>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</si>
  <si>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</si>
  <si>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</si>
  <si>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</si>
  <si>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</si>
  <si>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</si>
  <si>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</si>
  <si>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</si>
  <si>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</si>
  <si>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</si>
  <si>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</si>
  <si>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</si>
  <si>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</si>
  <si>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</si>
  <si>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</si>
  <si>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</si>
  <si>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</si>
  <si>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</si>
  <si>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</si>
  <si>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</si>
  <si>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</si>
  <si>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</si>
  <si>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</si>
  <si>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</si>
  <si>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</si>
  <si>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</si>
  <si>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</si>
  <si>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</si>
  <si>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</si>
  <si>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</si>
  <si>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</si>
  <si>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</si>
  <si>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</si>
  <si>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</si>
  <si>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</si>
  <si>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</si>
  <si>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</si>
  <si>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</si>
  <si>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</si>
  <si>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</si>
  <si>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</si>
  <si>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</si>
  <si>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</si>
  <si>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</si>
  <si>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</si>
  <si>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</si>
  <si>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</si>
  <si>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</si>
  <si>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</si>
  <si>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</si>
  <si>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</si>
  <si>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</si>
  <si>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</si>
  <si>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</si>
  <si>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</si>
  <si>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</si>
  <si>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</si>
  <si>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</si>
  <si>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</si>
  <si>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</si>
  <si>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</si>
  <si>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</si>
  <si>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</si>
  <si>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</si>
  <si>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</si>
  <si>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</si>
  <si>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</si>
  <si>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</si>
  <si>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</si>
  <si>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</si>
  <si>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</si>
  <si>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</si>
  <si>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</si>
  <si>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</si>
  <si>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</si>
  <si>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</si>
  <si>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</si>
  <si>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</si>
  <si>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</si>
  <si>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WEEK 1 – Excel Foundations &amp; Data Familiarity
Focus: Excel interface, formulas, and data basics
Day 1 – Dataset Selection &amp; Import
Choose any one (or more) of the 5 datasets provided.
Import into Excel.
Explore rows, columns, data types, and missing values.
Task: Write 3–4 key observations about the dataset.
Day 2 – Data Entry &amp; Formatting
Practice editing, inserting, deleting rows/columns.
Format headers (bold, colors, alignment).
Task: Make your dataset look clean and readable.
Day 3 – Basic Excel Formulas (Part 1)
Use: SUM(), AVERAGE(), MIN(), MAX(), COUNT()
Task: Create a summary table showing total, average, and count of main numeric columns.
Day 4 – Basic Excel Formulas (Part 2)
Use: IF(), SUMIF(), COUNTIF(), AVERAGEIF()
Task: Write at least 3 conditions (for example, count sales above 10,000).
Day 5 – Text Functions Practice
Use: LEFT(), RIGHT(), MID(), UPPER(), LOWER(), PROPER()
Task: Clean and format text columns (names, cities, etc.) properly.
Day 6 – Data Validation &amp; Cleaning Intro
Add drop-down lists.
Detect duplicates and remove them.
Handle blank cells using filters or formulas.
Task: Ensure your dataset has no duplicates and missing values handled.
Day 7 – Power Query Introduction (Optional if Excel 365)
Load data into Power Query.
Remove nulls, duplicates, replace inconsistent data.
Task: Clean data and re-load into Excel.</t>
  </si>
  <si>
    <t>Task 1</t>
  </si>
  <si>
    <t>150 data set</t>
  </si>
  <si>
    <t>unique id</t>
  </si>
  <si>
    <t>No blank cell</t>
  </si>
  <si>
    <t>data missing</t>
  </si>
  <si>
    <t>format ok</t>
  </si>
  <si>
    <t>Proper format okay</t>
  </si>
  <si>
    <t>No typos</t>
  </si>
  <si>
    <t>Format okay</t>
  </si>
  <si>
    <t>no decimal</t>
  </si>
  <si>
    <t>change to number format</t>
  </si>
  <si>
    <t xml:space="preserve">Null  value </t>
  </si>
  <si>
    <t>remove time</t>
  </si>
  <si>
    <t>Change to text format</t>
  </si>
  <si>
    <t>Invalid id</t>
  </si>
  <si>
    <t>Duplicates available</t>
  </si>
  <si>
    <t>Write 3–4 key observations about the dataset.</t>
  </si>
  <si>
    <t>Name -Blank fill</t>
  </si>
  <si>
    <t>Department - Blank fill</t>
  </si>
  <si>
    <t>Data format change</t>
  </si>
  <si>
    <t>SUBSTITUTE(K3,"N/A","0")</t>
  </si>
  <si>
    <t>IF(K3="N/A",ROUND(AVERAGEIF($E$3:$E$152,E3,$K$3:$K$152),0),K3)</t>
  </si>
  <si>
    <t>Salary Substitute</t>
  </si>
  <si>
    <t>Salary Average Filling</t>
  </si>
  <si>
    <t>Format-date</t>
  </si>
  <si>
    <t>IF(ISBLANK(P3),ROUND(AVERAGEIF($E$3:$E$152,E3,$P$3:$P$152),0),P3)</t>
  </si>
  <si>
    <t>Mode</t>
  </si>
  <si>
    <t>Gender -Unknown</t>
  </si>
  <si>
    <t>Country-Trim</t>
  </si>
  <si>
    <t>IF(ISBLANK(B1),"Unknown",B1)</t>
  </si>
  <si>
    <t>Task 2</t>
  </si>
  <si>
    <t xml:space="preserve"> Make your dataset look clean and readable.</t>
  </si>
  <si>
    <t>Task 3</t>
  </si>
  <si>
    <t>Create a summary table showing total, average, and count of main numeric columns.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</si>
  <si>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</si>
  <si>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</si>
  <si>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</si>
  <si>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</si>
  <si>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</si>
  <si>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</si>
  <si>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</si>
  <si>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</si>
  <si>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</si>
  <si>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</si>
  <si>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</si>
  <si>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</si>
  <si>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Performance</t>
  </si>
  <si>
    <t>Task 4</t>
  </si>
  <si>
    <t>Task 5</t>
  </si>
  <si>
    <t>Task 6</t>
  </si>
  <si>
    <t>Write at least 3 conditions (for example, count sales above 10,000).</t>
  </si>
  <si>
    <t>Ensure your dataset has no duplicates and missing values handled.</t>
  </si>
  <si>
    <t>IF(ISBLANK(D3),UPPER("Unknown"),UPPER(D3))</t>
  </si>
  <si>
    <t>FINANCE</t>
  </si>
  <si>
    <t>SALES</t>
  </si>
  <si>
    <t>MARKETING</t>
  </si>
  <si>
    <t>UNKNOWN</t>
  </si>
  <si>
    <t>IF(TRIM(F3)="",LOWER("Unknown"),LOWER(TRIM(F3)))</t>
  </si>
  <si>
    <t>unknown</t>
  </si>
  <si>
    <t>germany</t>
  </si>
  <si>
    <t>usa</t>
  </si>
  <si>
    <t>india</t>
  </si>
  <si>
    <t>uk</t>
  </si>
  <si>
    <t>australia</t>
  </si>
  <si>
    <t xml:space="preserve"> Clean and format text columns (names, cities, etc.) properly.</t>
  </si>
  <si>
    <t>Above 10K</t>
  </si>
  <si>
    <t>Above 50k</t>
  </si>
  <si>
    <t>Above 3 rating</t>
  </si>
  <si>
    <t xml:space="preserve">Task 4 </t>
  </si>
  <si>
    <t>Rating</t>
  </si>
  <si>
    <t>No need to Analysis</t>
  </si>
  <si>
    <t>Task 8</t>
  </si>
  <si>
    <t>0</t>
  </si>
  <si>
    <t>91180</t>
  </si>
  <si>
    <t>96418</t>
  </si>
  <si>
    <t>67531</t>
  </si>
  <si>
    <t>38333</t>
  </si>
  <si>
    <t>92959</t>
  </si>
  <si>
    <t>52093</t>
  </si>
  <si>
    <t>78720</t>
  </si>
  <si>
    <t>30686</t>
  </si>
  <si>
    <t>39423</t>
  </si>
  <si>
    <t>30280</t>
  </si>
  <si>
    <t>75633</t>
  </si>
  <si>
    <t>74815</t>
  </si>
  <si>
    <t>84924</t>
  </si>
  <si>
    <t>97981</t>
  </si>
  <si>
    <t>69952</t>
  </si>
  <si>
    <t>35163</t>
  </si>
  <si>
    <t>80588</t>
  </si>
  <si>
    <t>79145</t>
  </si>
  <si>
    <t>31293</t>
  </si>
  <si>
    <t>34306</t>
  </si>
  <si>
    <t>38837</t>
  </si>
  <si>
    <t>30357</t>
  </si>
  <si>
    <t>90019</t>
  </si>
  <si>
    <t>30402</t>
  </si>
  <si>
    <t>66882</t>
  </si>
  <si>
    <t>35627</t>
  </si>
  <si>
    <t>98475</t>
  </si>
  <si>
    <t>Task 9</t>
  </si>
  <si>
    <t>Task 10</t>
  </si>
  <si>
    <t>Task 11</t>
  </si>
  <si>
    <t>Task 12</t>
  </si>
  <si>
    <t>Task 13</t>
  </si>
  <si>
    <t>Task 14</t>
  </si>
  <si>
    <t>Generate Mean, Median, and Standard Deviation for numeric columns.</t>
  </si>
  <si>
    <t>Text to Cloumn</t>
  </si>
  <si>
    <t>Fill Unknown</t>
  </si>
  <si>
    <t>Create color-based rules to visually flag data issues.</t>
  </si>
  <si>
    <t>Employee Number</t>
  </si>
  <si>
    <t>Flash Fill</t>
  </si>
  <si>
    <t>Split one messy column into multiple clean ones.</t>
  </si>
  <si>
    <t>Apply multiple filters and sorts.</t>
  </si>
  <si>
    <t>WEEK 2 – Data Cleaning, Exploration &amp; Analysis
Focus: Transformations, descriptive statistics, and exploring patterns.
Day 8 – Handling Inconsistent Data
Use Text-to-Columns, Flash Fill, and TRIM() to fix messy data.
Task: Split one messy column into multiple clean ones.
Day 9 – Conditional Formatting for Data Cleaning
Highlight missing, duplicate, or outlier values.
Task: Create color-based rules to visually flag data issues.
Day 10 – Descriptive Statistics
Use Analysis ToolPak → Descriptive Statistics.
Task: Generate Mean, Median, and Standard Deviation for numeric columns.
Day 11 – Filtering, Sorting &amp; Exploring Data
Apply multiple filters and sorts.
Find top 5 and bottom 5 entries by value.
Task: Present a mini report of key patterns (Top 5 performers, etc.).
Day 12 – Date &amp; Time Functions
Practice: TODAY(), NOW(), YEAR(), MONTH(), WEEKDAY(), DATEDIF()
Task: Calculate age, duration, or time differences from your dataset.
Day 13 – Lookup &amp; Reference Functions (Part 1)
Use: VLOOKUP()
Task: Duplicate the dataset using Vlookup function.
Day 14 – (Part 2)
Use: INDEX(), MATCH()
Task: Use INDEX and MATCH to fill missing values in one column by fetching the correct data from another related table.</t>
  </si>
  <si>
    <t>Top 5 Perfomer</t>
  </si>
  <si>
    <t>Bottom 5 Salary</t>
  </si>
  <si>
    <t>IF(H3="Unknown",0,DATEDIF(H3, TODAY(), "MD"))</t>
  </si>
  <si>
    <t>Calculate age, duration, or time differences from your dataset.</t>
  </si>
  <si>
    <t>Joining Days</t>
  </si>
  <si>
    <t>Name -Blank Fill</t>
  </si>
  <si>
    <t>Department - Blank Fill</t>
  </si>
  <si>
    <t>Data Format Change</t>
  </si>
  <si>
    <t>Custom Icon Set</t>
  </si>
  <si>
    <t xml:space="preserve">Calculate Joining Days </t>
  </si>
  <si>
    <t>Duplicate the dataset using Vlookup function.</t>
  </si>
  <si>
    <t xml:space="preserve"> Use INDEX and MATCH to fill missing values in one column by fetching the correct data from another related table.</t>
  </si>
  <si>
    <t>WEEK 3 – Visualization &amp; Dashboard Building
Focus: Pivot Tables, Charts, and Dashboard creation
Day 15 – Pivot Tables (Part 1)
Connect multiple tables; if possible, do data modeling.
Create simple PivotTables.
Task: Show total sales by region or average marks by category.
Day 16 – Pivot Tables (Part 2)
Create simple PivotTables.
 Write a short description of 4 types of analysis (descriptive, diagnosis, predictive, and prescriptive analysis)  from the insights arrived from the pivot table 
Do forecast analysis
Group data by date, category, etc.
Task: Create one PivotChart linked to your PivotTable.
Day 17 – Charts &amp; Graphs (Part 1)
Practice: Bar, Column, Pie, Line charts.
Task: Visualize key KPIs (such as total sales or average score).
Day 18 – Charts &amp; Graphs (Part 2)
Create Combo charts, Sparklines, and use filters/slicers.
Task: Add interactivity to your visuals.
Day 19 – Advanced Visualization &amp; Storytelling
Add titles, legends, color themes, and storytelling flow.
Task: Arrange visuals neatly and make it presentation-ready.
Day 20 – Dashboard Design &amp; AI Integration
Use Quick Analysis for charts and summaries.
Try Excel Copilot or AI Analyst for formula suggestions and insights.
Task: Make a one-page dashboard summarizing your insights.
Day 21 – Documentation &amp; Submission
Write a summary:
Dataset used
Cleaning steps
Formulas used
Key insights
Screenshot of final dashboard
Task: Submit Excel file, PDF dashboard, and documentation.
FINAL DELIVERABLES
Excel file (.xlsx) with cleaned data, formulas, and dashboard.
PDF Dashboard Export showing final visuals.
Documentation (Word/PDF) describing your process, insights, and learnings.
NOTES:
You may use any or multiple datasets from the given five.
Each day’s task builds on the previous one.
End goal: Create a professional Excel dashboard 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</si>
</sst>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D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6" fontId="0" fillId="0" borderId="0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157</xdr:row>
      <xdr:rowOff>9525</xdr:rowOff>
    </xdr:from>
    <xdr:to>
      <xdr:col>2</xdr:col>
      <xdr:colOff>1616076</xdr:colOff>
      <xdr:row>172</xdr:row>
      <xdr:rowOff>111862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72860-4B18-5D27-C586-431066BB2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6" y="29365575"/>
          <a:ext cx="2835275" cy="2816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17" workbookViewId="0">
      <selection activeCell="M129" sqref="M129"/>
    </sheetView>
  </sheetViews>
  <sheetFormatPr defaultColWidth="8.7265625" defaultRowHeight="14.5" x14ac:dyDescent="0.35"/>
  <cols>
    <col min="1" max="1" width="20.1796875" style="11" bestFit="1" customWidth="1"/>
    <col min="2" max="2" width="12.54296875" style="11" bestFit="1" customWidth="1"/>
    <col min="3" max="3" width="19.81640625" style="11" bestFit="1" customWidth="1"/>
    <col min="4" max="4" width="14.81640625" style="11" bestFit="1" customWidth="1"/>
    <col min="5" max="5" width="12.7265625" style="11" bestFit="1" customWidth="1"/>
    <col min="6" max="6" width="22.81640625" style="11" bestFit="1" customWidth="1"/>
    <col min="7" max="7" width="17.7265625" style="11" bestFit="1" customWidth="1"/>
    <col min="8" max="8" width="14.26953125" style="11" bestFit="1" customWidth="1"/>
    <col min="9" max="9" width="22.1796875" style="11" bestFit="1" customWidth="1"/>
    <col min="10" max="16384" width="8.7265625" style="11"/>
  </cols>
  <sheetData>
    <row r="1" spans="1:9" s="6" customForma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x14ac:dyDescent="0.35">
      <c r="A2" s="1" t="s">
        <v>9</v>
      </c>
      <c r="B2"/>
      <c r="C2" s="1" t="s">
        <v>166</v>
      </c>
      <c r="D2" s="1" t="s">
        <v>171</v>
      </c>
      <c r="E2" s="1" t="s">
        <v>177</v>
      </c>
      <c r="F2"/>
      <c r="G2" s="1">
        <v>2</v>
      </c>
      <c r="H2" s="1" t="s">
        <v>178</v>
      </c>
      <c r="I2" s="1" t="s">
        <v>182</v>
      </c>
    </row>
    <row r="3" spans="1:9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13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13">
        <v>42022</v>
      </c>
      <c r="G4" s="1">
        <v>2</v>
      </c>
      <c r="H4"/>
      <c r="I4" s="1" t="s">
        <v>184</v>
      </c>
    </row>
    <row r="5" spans="1:9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13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13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13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1" t="s">
        <v>15</v>
      </c>
      <c r="B8" s="1" t="s">
        <v>163</v>
      </c>
      <c r="C8" s="1" t="s">
        <v>168</v>
      </c>
      <c r="D8"/>
      <c r="E8" s="1">
        <v>67721</v>
      </c>
      <c r="F8" s="13">
        <v>42050</v>
      </c>
      <c r="G8"/>
      <c r="H8" s="1" t="s">
        <v>180</v>
      </c>
      <c r="I8" s="1" t="s">
        <v>185</v>
      </c>
    </row>
    <row r="9" spans="1:9" x14ac:dyDescent="0.35">
      <c r="A9" s="1" t="s">
        <v>16</v>
      </c>
      <c r="B9" s="1" t="s">
        <v>164</v>
      </c>
      <c r="C9" s="1" t="s">
        <v>170</v>
      </c>
      <c r="D9"/>
      <c r="E9" s="1">
        <v>35364</v>
      </c>
      <c r="F9" s="13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13">
        <v>42064</v>
      </c>
      <c r="G10"/>
      <c r="H10" s="1" t="s">
        <v>181</v>
      </c>
      <c r="I10" s="1" t="s">
        <v>189</v>
      </c>
    </row>
    <row r="11" spans="1:9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13">
        <v>42071</v>
      </c>
      <c r="G11"/>
      <c r="H11" s="1" t="s">
        <v>180</v>
      </c>
      <c r="I11" s="1" t="s">
        <v>190</v>
      </c>
    </row>
    <row r="12" spans="1:9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13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13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1" t="s">
        <v>21</v>
      </c>
      <c r="B14" s="1" t="s">
        <v>165</v>
      </c>
      <c r="C14" s="1" t="s">
        <v>168</v>
      </c>
      <c r="D14"/>
      <c r="E14" s="1">
        <v>96418</v>
      </c>
      <c r="F14" s="13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1" t="s">
        <v>22</v>
      </c>
      <c r="B15" s="1" t="s">
        <v>163</v>
      </c>
      <c r="C15"/>
      <c r="D15" s="1" t="s">
        <v>174</v>
      </c>
      <c r="E15" s="1">
        <v>62158</v>
      </c>
      <c r="F15" s="13">
        <v>42099</v>
      </c>
      <c r="G15" s="1">
        <v>4</v>
      </c>
      <c r="H15"/>
      <c r="I15" s="1" t="s">
        <v>193</v>
      </c>
    </row>
    <row r="16" spans="1:9" x14ac:dyDescent="0.35">
      <c r="A16" s="1" t="s">
        <v>23</v>
      </c>
      <c r="B16" s="1" t="s">
        <v>162</v>
      </c>
      <c r="C16" s="1" t="s">
        <v>167</v>
      </c>
      <c r="D16"/>
      <c r="E16" s="1">
        <v>59894</v>
      </c>
      <c r="F16" s="13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1" t="s">
        <v>24</v>
      </c>
      <c r="B17"/>
      <c r="C17" s="1" t="s">
        <v>169</v>
      </c>
      <c r="D17" s="1" t="s">
        <v>174</v>
      </c>
      <c r="E17" s="1">
        <v>92443</v>
      </c>
      <c r="F17" s="13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1" t="s">
        <v>25</v>
      </c>
      <c r="B18" s="1" t="s">
        <v>165</v>
      </c>
      <c r="C18"/>
      <c r="D18" s="1" t="s">
        <v>172</v>
      </c>
      <c r="E18" s="1">
        <v>90271</v>
      </c>
      <c r="F18" s="13">
        <v>42120</v>
      </c>
      <c r="G18"/>
      <c r="H18"/>
      <c r="I18" s="1" t="s">
        <v>196</v>
      </c>
    </row>
    <row r="19" spans="1:9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13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13">
        <v>42134</v>
      </c>
      <c r="G20"/>
      <c r="H20"/>
      <c r="I20" s="1" t="s">
        <v>198</v>
      </c>
    </row>
    <row r="21" spans="1:9" x14ac:dyDescent="0.35">
      <c r="A21" s="1" t="s">
        <v>28</v>
      </c>
      <c r="B21" s="1" t="s">
        <v>159</v>
      </c>
      <c r="C21"/>
      <c r="D21" s="1" t="s">
        <v>174</v>
      </c>
      <c r="E21" s="1">
        <v>67531</v>
      </c>
      <c r="F21" s="13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13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1" t="s">
        <v>30</v>
      </c>
      <c r="B23" s="1" t="s">
        <v>162</v>
      </c>
      <c r="C23" s="1" t="s">
        <v>167</v>
      </c>
      <c r="D23"/>
      <c r="E23" s="1">
        <v>98922</v>
      </c>
      <c r="F23" s="13">
        <v>42155</v>
      </c>
      <c r="G23" s="1">
        <v>4</v>
      </c>
      <c r="H23"/>
      <c r="I23" s="1" t="s">
        <v>201</v>
      </c>
    </row>
    <row r="24" spans="1:9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13">
        <v>42162</v>
      </c>
      <c r="G24" s="1">
        <v>5</v>
      </c>
      <c r="H24"/>
      <c r="I24" s="1" t="s">
        <v>202</v>
      </c>
    </row>
    <row r="25" spans="1:9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13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1" t="s">
        <v>33</v>
      </c>
      <c r="B26" s="1" t="s">
        <v>163</v>
      </c>
      <c r="C26" s="1" t="s">
        <v>166</v>
      </c>
      <c r="D26"/>
      <c r="E26" s="1">
        <v>91005</v>
      </c>
      <c r="F26" s="13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1" t="s">
        <v>34</v>
      </c>
      <c r="B27" s="1" t="s">
        <v>164</v>
      </c>
      <c r="C27"/>
      <c r="D27" s="1" t="s">
        <v>171</v>
      </c>
      <c r="E27" s="1">
        <v>52272</v>
      </c>
      <c r="F27" s="13">
        <v>42183</v>
      </c>
      <c r="G27" s="1">
        <v>3</v>
      </c>
      <c r="H27"/>
      <c r="I27" s="1" t="s">
        <v>205</v>
      </c>
    </row>
    <row r="28" spans="1:9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13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13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13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13">
        <v>42211</v>
      </c>
      <c r="G31" s="1">
        <v>5</v>
      </c>
      <c r="H31"/>
      <c r="I31" s="1" t="s">
        <v>209</v>
      </c>
    </row>
    <row r="32" spans="1:9" x14ac:dyDescent="0.35">
      <c r="A32" s="1" t="s">
        <v>39</v>
      </c>
      <c r="B32"/>
      <c r="C32" s="1" t="s">
        <v>170</v>
      </c>
      <c r="D32"/>
      <c r="E32" s="1">
        <v>92259</v>
      </c>
      <c r="F32"/>
      <c r="G32" s="1">
        <v>1</v>
      </c>
      <c r="H32" s="1" t="s">
        <v>178</v>
      </c>
      <c r="I32" s="1" t="s">
        <v>210</v>
      </c>
    </row>
    <row r="33" spans="1:9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13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1" t="s">
        <v>41</v>
      </c>
      <c r="B34" s="1" t="s">
        <v>163</v>
      </c>
      <c r="C34" s="1" t="s">
        <v>167</v>
      </c>
      <c r="D34"/>
      <c r="E34" s="1">
        <v>95586</v>
      </c>
      <c r="F34" s="13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1" t="s">
        <v>42</v>
      </c>
      <c r="B35" s="1" t="s">
        <v>164</v>
      </c>
      <c r="C35"/>
      <c r="D35" s="1" t="s">
        <v>173</v>
      </c>
      <c r="E35" s="1">
        <v>95367</v>
      </c>
      <c r="F35" s="13">
        <v>42239</v>
      </c>
      <c r="G35"/>
      <c r="H35" s="1" t="s">
        <v>180</v>
      </c>
      <c r="I35" s="1" t="s">
        <v>213</v>
      </c>
    </row>
    <row r="36" spans="1:9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13">
        <v>42246</v>
      </c>
      <c r="G36" s="1">
        <v>3</v>
      </c>
      <c r="H36"/>
      <c r="I36" s="1" t="s">
        <v>214</v>
      </c>
    </row>
    <row r="37" spans="1:9" x14ac:dyDescent="0.35">
      <c r="A37" s="1" t="s">
        <v>44</v>
      </c>
      <c r="B37" s="1" t="s">
        <v>160</v>
      </c>
      <c r="C37"/>
      <c r="D37" s="1" t="s">
        <v>175</v>
      </c>
      <c r="E37" s="1">
        <v>54463</v>
      </c>
      <c r="F37" s="13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13">
        <v>42260</v>
      </c>
      <c r="G38"/>
      <c r="H38" s="1" t="s">
        <v>181</v>
      </c>
      <c r="I38" s="1" t="s">
        <v>215</v>
      </c>
    </row>
    <row r="39" spans="1:9" x14ac:dyDescent="0.35">
      <c r="A39" s="1" t="s">
        <v>46</v>
      </c>
      <c r="B39" s="1" t="s">
        <v>160</v>
      </c>
      <c r="C39" s="1" t="s">
        <v>167</v>
      </c>
      <c r="D39"/>
      <c r="E39" s="1">
        <v>64796</v>
      </c>
      <c r="F39" s="13">
        <v>42267</v>
      </c>
      <c r="G39"/>
      <c r="H39" s="1" t="s">
        <v>179</v>
      </c>
      <c r="I39" s="1" t="s">
        <v>216</v>
      </c>
    </row>
    <row r="40" spans="1:9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13">
        <v>42274</v>
      </c>
      <c r="G40" s="1">
        <v>5</v>
      </c>
      <c r="H40"/>
      <c r="I40" s="1" t="s">
        <v>217</v>
      </c>
    </row>
    <row r="41" spans="1:9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13">
        <v>42281</v>
      </c>
      <c r="G41" s="1">
        <v>3</v>
      </c>
      <c r="H41"/>
      <c r="I41" s="1" t="s">
        <v>218</v>
      </c>
    </row>
    <row r="42" spans="1:9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/>
      <c r="G42" s="1">
        <v>4</v>
      </c>
      <c r="H42" s="1" t="s">
        <v>181</v>
      </c>
      <c r="I42" s="1" t="s">
        <v>219</v>
      </c>
    </row>
    <row r="43" spans="1:9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13">
        <v>42295</v>
      </c>
      <c r="G43"/>
      <c r="H43"/>
      <c r="I43" s="1" t="s">
        <v>220</v>
      </c>
    </row>
    <row r="44" spans="1:9" x14ac:dyDescent="0.35">
      <c r="A44" s="1" t="s">
        <v>51</v>
      </c>
      <c r="B44" s="1" t="s">
        <v>165</v>
      </c>
      <c r="C44"/>
      <c r="D44" s="1" t="s">
        <v>176</v>
      </c>
      <c r="E44" s="1">
        <v>64913</v>
      </c>
      <c r="F44" s="13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13">
        <v>42309</v>
      </c>
      <c r="G45"/>
      <c r="H45" s="1" t="s">
        <v>181</v>
      </c>
      <c r="I45" s="1" t="s">
        <v>222</v>
      </c>
    </row>
    <row r="46" spans="1:9" x14ac:dyDescent="0.35">
      <c r="A46" s="1" t="s">
        <v>53</v>
      </c>
      <c r="B46" s="1" t="s">
        <v>164</v>
      </c>
      <c r="C46" s="1" t="s">
        <v>166</v>
      </c>
      <c r="D46"/>
      <c r="E46" s="1">
        <v>81610</v>
      </c>
      <c r="F46" s="13">
        <v>42316</v>
      </c>
      <c r="G46" s="1">
        <v>1</v>
      </c>
      <c r="H46"/>
      <c r="I46" s="1" t="s">
        <v>223</v>
      </c>
    </row>
    <row r="47" spans="1:9" x14ac:dyDescent="0.35">
      <c r="A47" s="1" t="s">
        <v>54</v>
      </c>
      <c r="B47"/>
      <c r="C47" s="1" t="s">
        <v>167</v>
      </c>
      <c r="D47"/>
      <c r="E47" s="1">
        <v>58962</v>
      </c>
      <c r="F47" s="13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13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13">
        <v>42337</v>
      </c>
      <c r="G49" s="1">
        <v>4</v>
      </c>
      <c r="H49"/>
      <c r="I49" s="1" t="s">
        <v>225</v>
      </c>
    </row>
    <row r="50" spans="1:9" x14ac:dyDescent="0.35">
      <c r="A50" s="1" t="s">
        <v>57</v>
      </c>
      <c r="B50" s="1" t="s">
        <v>161</v>
      </c>
      <c r="C50" s="1" t="s">
        <v>166</v>
      </c>
      <c r="D50"/>
      <c r="E50" s="1">
        <v>66513</v>
      </c>
      <c r="F50" s="13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13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1" t="s">
        <v>59</v>
      </c>
      <c r="B52" s="1" t="s">
        <v>164</v>
      </c>
      <c r="C52"/>
      <c r="D52" s="1" t="s">
        <v>171</v>
      </c>
      <c r="E52" s="1">
        <v>30686</v>
      </c>
      <c r="F52"/>
      <c r="G52" s="1">
        <v>2</v>
      </c>
      <c r="H52" s="1" t="s">
        <v>181</v>
      </c>
      <c r="I52" s="1" t="s">
        <v>226</v>
      </c>
    </row>
    <row r="53" spans="1:9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13">
        <v>42365</v>
      </c>
      <c r="G53" s="1">
        <v>5</v>
      </c>
      <c r="H53"/>
      <c r="I53" s="1" t="s">
        <v>227</v>
      </c>
    </row>
    <row r="54" spans="1:9" x14ac:dyDescent="0.35">
      <c r="A54" s="1" t="s">
        <v>61</v>
      </c>
      <c r="B54" s="1" t="s">
        <v>159</v>
      </c>
      <c r="C54" s="1" t="s">
        <v>170</v>
      </c>
      <c r="D54"/>
      <c r="E54" s="1">
        <v>30280</v>
      </c>
      <c r="F54" s="13">
        <v>42372</v>
      </c>
      <c r="G54" s="1">
        <v>1</v>
      </c>
      <c r="H54"/>
      <c r="I54" s="1" t="s">
        <v>228</v>
      </c>
    </row>
    <row r="55" spans="1:9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13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13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1" t="s">
        <v>64</v>
      </c>
      <c r="B57" s="1" t="s">
        <v>164</v>
      </c>
      <c r="C57"/>
      <c r="D57" s="1" t="s">
        <v>173</v>
      </c>
      <c r="E57" s="1">
        <v>74815</v>
      </c>
      <c r="F57" s="13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13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1" t="s">
        <v>66</v>
      </c>
      <c r="B59" s="1" t="s">
        <v>159</v>
      </c>
      <c r="C59"/>
      <c r="D59" s="1" t="s">
        <v>174</v>
      </c>
      <c r="E59" s="1">
        <v>96949</v>
      </c>
      <c r="F59" s="13">
        <v>42407</v>
      </c>
      <c r="G59" s="1">
        <v>3</v>
      </c>
      <c r="H59"/>
      <c r="I59" s="1" t="s">
        <v>207</v>
      </c>
    </row>
    <row r="60" spans="1:9" x14ac:dyDescent="0.35">
      <c r="A60" s="1" t="s">
        <v>67</v>
      </c>
      <c r="B60" s="1" t="s">
        <v>163</v>
      </c>
      <c r="C60" s="1" t="s">
        <v>170</v>
      </c>
      <c r="D60"/>
      <c r="E60" s="1">
        <v>84924</v>
      </c>
      <c r="F60" s="13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13">
        <v>42421</v>
      </c>
      <c r="G61" s="1">
        <v>1</v>
      </c>
      <c r="H61"/>
      <c r="I61" s="1" t="s">
        <v>223</v>
      </c>
    </row>
    <row r="62" spans="1:9" x14ac:dyDescent="0.35">
      <c r="A62" s="1" t="s">
        <v>69</v>
      </c>
      <c r="B62"/>
      <c r="C62" s="1" t="s">
        <v>170</v>
      </c>
      <c r="D62" s="1" t="s">
        <v>172</v>
      </c>
      <c r="E62" s="1" t="s">
        <v>177</v>
      </c>
      <c r="F62"/>
      <c r="G62" s="1">
        <v>5</v>
      </c>
      <c r="H62" s="1" t="s">
        <v>178</v>
      </c>
      <c r="I62" s="1" t="s">
        <v>233</v>
      </c>
    </row>
    <row r="63" spans="1:9" x14ac:dyDescent="0.35">
      <c r="A63" s="1" t="s">
        <v>70</v>
      </c>
      <c r="B63" s="1" t="s">
        <v>159</v>
      </c>
      <c r="C63"/>
      <c r="D63" s="1" t="s">
        <v>176</v>
      </c>
      <c r="E63" s="1">
        <v>31499</v>
      </c>
      <c r="F63" s="13">
        <v>42435</v>
      </c>
      <c r="G63" s="1">
        <v>2</v>
      </c>
      <c r="H63"/>
      <c r="I63" s="1" t="s">
        <v>215</v>
      </c>
    </row>
    <row r="64" spans="1:9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13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13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13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13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1" t="s">
        <v>75</v>
      </c>
      <c r="B68" s="1" t="s">
        <v>163</v>
      </c>
      <c r="C68"/>
      <c r="D68" s="1" t="s">
        <v>176</v>
      </c>
      <c r="E68" s="1">
        <v>96365</v>
      </c>
      <c r="F68" s="13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13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13">
        <v>42484</v>
      </c>
      <c r="G70" s="1">
        <v>2</v>
      </c>
      <c r="H70"/>
      <c r="I70" s="1" t="s">
        <v>201</v>
      </c>
    </row>
    <row r="71" spans="1:9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13">
        <v>42491</v>
      </c>
      <c r="G71" s="1">
        <v>1</v>
      </c>
      <c r="H71"/>
      <c r="I71" s="1" t="s">
        <v>240</v>
      </c>
    </row>
    <row r="72" spans="1:9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13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13">
        <v>42505</v>
      </c>
      <c r="G73" s="1">
        <v>3</v>
      </c>
      <c r="H73"/>
      <c r="I73" s="1" t="s">
        <v>241</v>
      </c>
    </row>
    <row r="74" spans="1:9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13">
        <v>42512</v>
      </c>
      <c r="G74"/>
      <c r="H74" s="1" t="s">
        <v>179</v>
      </c>
      <c r="I74" s="1" t="s">
        <v>190</v>
      </c>
    </row>
    <row r="75" spans="1:9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13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1" t="s">
        <v>83</v>
      </c>
      <c r="B76" s="1" t="s">
        <v>163</v>
      </c>
      <c r="C76"/>
      <c r="D76" s="1" t="s">
        <v>172</v>
      </c>
      <c r="E76" s="1">
        <v>41243</v>
      </c>
      <c r="F76" s="13">
        <v>42526</v>
      </c>
      <c r="G76"/>
      <c r="H76"/>
      <c r="I76" s="1" t="s">
        <v>211</v>
      </c>
    </row>
    <row r="77" spans="1:9" x14ac:dyDescent="0.35">
      <c r="A77" s="1" t="s">
        <v>84</v>
      </c>
      <c r="B77"/>
      <c r="C77" s="1" t="s">
        <v>168</v>
      </c>
      <c r="D77" s="1" t="s">
        <v>171</v>
      </c>
      <c r="E77" s="1">
        <v>96142</v>
      </c>
      <c r="F77" s="13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13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1" t="s">
        <v>86</v>
      </c>
      <c r="B79" s="1" t="s">
        <v>162</v>
      </c>
      <c r="C79"/>
      <c r="D79" s="1" t="s">
        <v>175</v>
      </c>
      <c r="E79" s="1">
        <v>69166</v>
      </c>
      <c r="F79" s="13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1" t="s">
        <v>87</v>
      </c>
      <c r="B80" s="1" t="s">
        <v>163</v>
      </c>
      <c r="C80"/>
      <c r="D80" s="1" t="s">
        <v>175</v>
      </c>
      <c r="E80" s="1">
        <v>78245</v>
      </c>
      <c r="F80" s="13">
        <v>42554</v>
      </c>
      <c r="G80" s="1">
        <v>2</v>
      </c>
      <c r="H80"/>
      <c r="I80" s="1" t="s">
        <v>244</v>
      </c>
    </row>
    <row r="81" spans="1:9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13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/>
      <c r="G82"/>
      <c r="H82"/>
      <c r="I82" s="1" t="s">
        <v>208</v>
      </c>
    </row>
    <row r="83" spans="1:9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13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13">
        <v>42582</v>
      </c>
      <c r="G84" s="1">
        <v>1</v>
      </c>
      <c r="H84"/>
      <c r="I84" s="1" t="s">
        <v>247</v>
      </c>
    </row>
    <row r="85" spans="1:9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13">
        <v>42589</v>
      </c>
      <c r="G85"/>
      <c r="H85" s="1" t="s">
        <v>179</v>
      </c>
      <c r="I85" s="1" t="s">
        <v>248</v>
      </c>
    </row>
    <row r="86" spans="1:9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13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1" t="s">
        <v>94</v>
      </c>
      <c r="B87" s="1" t="s">
        <v>164</v>
      </c>
      <c r="C87" s="1" t="s">
        <v>166</v>
      </c>
      <c r="D87"/>
      <c r="E87" s="1">
        <v>35163</v>
      </c>
      <c r="F87" s="13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13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13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1" t="s">
        <v>97</v>
      </c>
      <c r="B90" s="1" t="s">
        <v>164</v>
      </c>
      <c r="C90" s="1" t="s">
        <v>169</v>
      </c>
      <c r="D90"/>
      <c r="E90" s="1">
        <v>63434</v>
      </c>
      <c r="F90" s="13">
        <v>42624</v>
      </c>
      <c r="G90" s="1">
        <v>3</v>
      </c>
      <c r="H90"/>
      <c r="I90" s="1" t="s">
        <v>251</v>
      </c>
    </row>
    <row r="91" spans="1:9" x14ac:dyDescent="0.35">
      <c r="A91" s="1" t="s">
        <v>98</v>
      </c>
      <c r="B91" s="1" t="s">
        <v>162</v>
      </c>
      <c r="C91"/>
      <c r="D91" s="1" t="s">
        <v>176</v>
      </c>
      <c r="E91" s="1">
        <v>38830</v>
      </c>
      <c r="F91" s="13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1" t="s">
        <v>99</v>
      </c>
      <c r="B92"/>
      <c r="C92" s="1" t="s">
        <v>170</v>
      </c>
      <c r="D92" s="1" t="s">
        <v>175</v>
      </c>
      <c r="E92" s="1">
        <v>50741</v>
      </c>
      <c r="F92" s="13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13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1" t="s">
        <v>101</v>
      </c>
      <c r="B94" s="1" t="s">
        <v>162</v>
      </c>
      <c r="C94" s="1" t="s">
        <v>169</v>
      </c>
      <c r="D94"/>
      <c r="E94" s="1">
        <v>80588</v>
      </c>
      <c r="F94" s="13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1" t="s">
        <v>102</v>
      </c>
      <c r="B95" s="1" t="s">
        <v>160</v>
      </c>
      <c r="C95"/>
      <c r="D95" s="1" t="s">
        <v>173</v>
      </c>
      <c r="E95" s="1">
        <v>76238</v>
      </c>
      <c r="F95" s="13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13">
        <v>42666</v>
      </c>
      <c r="G96"/>
      <c r="H96" s="1" t="s">
        <v>181</v>
      </c>
      <c r="I96" s="1" t="s">
        <v>253</v>
      </c>
    </row>
    <row r="97" spans="1:9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13">
        <v>42673</v>
      </c>
      <c r="G97"/>
      <c r="H97" s="1" t="s">
        <v>179</v>
      </c>
      <c r="I97" s="1" t="s">
        <v>254</v>
      </c>
    </row>
    <row r="98" spans="1:9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13">
        <v>42680</v>
      </c>
      <c r="G98" s="1">
        <v>3</v>
      </c>
      <c r="H98"/>
      <c r="I98" s="1" t="s">
        <v>255</v>
      </c>
    </row>
    <row r="99" spans="1:9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13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13">
        <v>42694</v>
      </c>
      <c r="G100"/>
      <c r="H100" s="1" t="s">
        <v>180</v>
      </c>
      <c r="I100" s="1" t="s">
        <v>257</v>
      </c>
    </row>
    <row r="101" spans="1:9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13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13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13">
        <v>42715</v>
      </c>
      <c r="G103"/>
      <c r="H103" s="1" t="s">
        <v>180</v>
      </c>
      <c r="I103" s="1" t="s">
        <v>200</v>
      </c>
    </row>
    <row r="104" spans="1:9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13">
        <v>42722</v>
      </c>
      <c r="G104"/>
      <c r="H104" s="1" t="s">
        <v>181</v>
      </c>
      <c r="I104" s="1" t="s">
        <v>260</v>
      </c>
    </row>
    <row r="105" spans="1:9" x14ac:dyDescent="0.35">
      <c r="A105" s="1" t="s">
        <v>112</v>
      </c>
      <c r="B105" s="1" t="s">
        <v>160</v>
      </c>
      <c r="C105" s="1" t="s">
        <v>170</v>
      </c>
      <c r="D105"/>
      <c r="E105" s="1">
        <v>79145</v>
      </c>
      <c r="F105" s="13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1" t="s">
        <v>113</v>
      </c>
      <c r="B106" s="1" t="s">
        <v>162</v>
      </c>
      <c r="C106"/>
      <c r="D106" s="1" t="s">
        <v>176</v>
      </c>
      <c r="E106" s="1">
        <v>61556</v>
      </c>
      <c r="F106" s="13">
        <v>42736</v>
      </c>
      <c r="G106" s="1">
        <v>1</v>
      </c>
      <c r="H106"/>
      <c r="I106" s="1" t="s">
        <v>259</v>
      </c>
    </row>
    <row r="107" spans="1:9" x14ac:dyDescent="0.35">
      <c r="A107" s="1" t="s">
        <v>114</v>
      </c>
      <c r="B107"/>
      <c r="C107" s="1" t="s">
        <v>167</v>
      </c>
      <c r="D107" s="1" t="s">
        <v>175</v>
      </c>
      <c r="E107" s="1">
        <v>87963</v>
      </c>
      <c r="F107" s="13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1" t="s">
        <v>115</v>
      </c>
      <c r="B108" s="1" t="s">
        <v>159</v>
      </c>
      <c r="C108" s="1" t="s">
        <v>169</v>
      </c>
      <c r="D108"/>
      <c r="E108" s="1">
        <v>48325</v>
      </c>
      <c r="F108" s="13">
        <v>42750</v>
      </c>
      <c r="G108"/>
      <c r="H108" s="1" t="s">
        <v>180</v>
      </c>
      <c r="I108" s="1" t="s">
        <v>261</v>
      </c>
    </row>
    <row r="109" spans="1:9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13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1" t="s">
        <v>117</v>
      </c>
      <c r="B110" s="1" t="s">
        <v>163</v>
      </c>
      <c r="C110" s="1" t="s">
        <v>167</v>
      </c>
      <c r="D110"/>
      <c r="E110" s="1">
        <v>66761</v>
      </c>
      <c r="F110" s="13">
        <v>42764</v>
      </c>
      <c r="G110" s="1">
        <v>1</v>
      </c>
      <c r="H110"/>
      <c r="I110" s="1" t="s">
        <v>262</v>
      </c>
    </row>
    <row r="111" spans="1:9" x14ac:dyDescent="0.35">
      <c r="A111" s="1" t="s">
        <v>118</v>
      </c>
      <c r="B111" s="1" t="s">
        <v>162</v>
      </c>
      <c r="C111"/>
      <c r="D111" s="1" t="s">
        <v>174</v>
      </c>
      <c r="E111" s="1">
        <v>88850</v>
      </c>
      <c r="F111" s="13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/>
      <c r="G112" s="1">
        <v>2</v>
      </c>
      <c r="H112" s="1" t="s">
        <v>181</v>
      </c>
      <c r="I112" s="1" t="s">
        <v>264</v>
      </c>
    </row>
    <row r="113" spans="1:9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13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13">
        <v>42792</v>
      </c>
      <c r="G114"/>
      <c r="H114" s="1" t="s">
        <v>179</v>
      </c>
      <c r="I114" s="1" t="s">
        <v>258</v>
      </c>
    </row>
    <row r="115" spans="1:9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13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13">
        <v>42806</v>
      </c>
      <c r="G116" s="1">
        <v>4</v>
      </c>
      <c r="H116"/>
      <c r="I116" s="1" t="s">
        <v>235</v>
      </c>
    </row>
    <row r="117" spans="1:9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13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13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1" t="s">
        <v>126</v>
      </c>
      <c r="B119" s="1" t="s">
        <v>165</v>
      </c>
      <c r="C119" s="1" t="s">
        <v>170</v>
      </c>
      <c r="D119"/>
      <c r="E119" s="1">
        <v>73483</v>
      </c>
      <c r="F119" s="13">
        <v>42827</v>
      </c>
      <c r="G119" s="1">
        <v>1</v>
      </c>
      <c r="H119"/>
      <c r="I119" s="1" t="s">
        <v>266</v>
      </c>
    </row>
    <row r="120" spans="1:9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13">
        <v>42834</v>
      </c>
      <c r="G120" s="1">
        <v>3</v>
      </c>
      <c r="H120"/>
      <c r="I120" s="1" t="s">
        <v>267</v>
      </c>
    </row>
    <row r="121" spans="1:9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13">
        <v>42841</v>
      </c>
      <c r="G121"/>
      <c r="H121" s="1" t="s">
        <v>181</v>
      </c>
      <c r="I121" s="1" t="s">
        <v>200</v>
      </c>
    </row>
    <row r="122" spans="1:9" x14ac:dyDescent="0.35">
      <c r="A122" s="1" t="s">
        <v>129</v>
      </c>
      <c r="B122"/>
      <c r="C122" s="1" t="s">
        <v>169</v>
      </c>
      <c r="D122" s="1" t="s">
        <v>173</v>
      </c>
      <c r="E122" s="1" t="s">
        <v>177</v>
      </c>
      <c r="F122"/>
      <c r="G122" s="1">
        <v>5</v>
      </c>
      <c r="H122" s="1" t="s">
        <v>178</v>
      </c>
      <c r="I122" s="1" t="s">
        <v>268</v>
      </c>
    </row>
    <row r="123" spans="1:9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13">
        <v>42855</v>
      </c>
      <c r="G123" s="1">
        <v>2</v>
      </c>
      <c r="H123"/>
      <c r="I123" s="1" t="s">
        <v>269</v>
      </c>
    </row>
    <row r="124" spans="1:9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13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1" t="s">
        <v>132</v>
      </c>
      <c r="B125" s="1" t="s">
        <v>162</v>
      </c>
      <c r="C125"/>
      <c r="D125" s="1" t="s">
        <v>172</v>
      </c>
      <c r="E125" s="1">
        <v>30357</v>
      </c>
      <c r="F125" s="13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1" t="s">
        <v>133</v>
      </c>
      <c r="B126" s="1" t="s">
        <v>161</v>
      </c>
      <c r="C126" s="1" t="s">
        <v>169</v>
      </c>
      <c r="D126"/>
      <c r="E126" s="1">
        <v>60034</v>
      </c>
      <c r="F126" s="13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13">
        <v>42883</v>
      </c>
      <c r="G127" s="1">
        <v>5</v>
      </c>
      <c r="H127"/>
      <c r="I127" s="1" t="s">
        <v>272</v>
      </c>
    </row>
    <row r="128" spans="1:9" x14ac:dyDescent="0.35">
      <c r="A128" s="1" t="s">
        <v>135</v>
      </c>
      <c r="B128" s="1" t="s">
        <v>165</v>
      </c>
      <c r="C128"/>
      <c r="D128" s="1" t="s">
        <v>172</v>
      </c>
      <c r="E128" s="1">
        <v>71494</v>
      </c>
      <c r="F128" s="13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13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13">
        <v>42904</v>
      </c>
      <c r="G130" s="1">
        <v>1</v>
      </c>
      <c r="H130"/>
      <c r="I130" s="1" t="s">
        <v>274</v>
      </c>
    </row>
    <row r="131" spans="1:9" x14ac:dyDescent="0.35">
      <c r="A131" s="1" t="s">
        <v>138</v>
      </c>
      <c r="B131" s="1" t="s">
        <v>165</v>
      </c>
      <c r="C131"/>
      <c r="D131" s="1" t="s">
        <v>175</v>
      </c>
      <c r="E131" s="1">
        <v>62994</v>
      </c>
      <c r="F131" s="13">
        <v>42911</v>
      </c>
      <c r="G131"/>
      <c r="H131"/>
      <c r="I131" s="1" t="s">
        <v>221</v>
      </c>
    </row>
    <row r="132" spans="1:9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/>
      <c r="G132" s="1">
        <v>3</v>
      </c>
      <c r="H132" s="1" t="s">
        <v>180</v>
      </c>
      <c r="I132" s="1" t="s">
        <v>189</v>
      </c>
    </row>
    <row r="133" spans="1:9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13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13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13">
        <v>42939</v>
      </c>
      <c r="G135" s="1">
        <v>3</v>
      </c>
      <c r="H135"/>
      <c r="I135" s="1" t="s">
        <v>264</v>
      </c>
    </row>
    <row r="136" spans="1:9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13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1" t="s">
        <v>144</v>
      </c>
      <c r="B137"/>
      <c r="C137" s="1" t="s">
        <v>169</v>
      </c>
      <c r="D137" s="1" t="s">
        <v>175</v>
      </c>
      <c r="E137" s="1">
        <v>39280</v>
      </c>
      <c r="F137" s="13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13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13">
        <v>42967</v>
      </c>
      <c r="G139"/>
      <c r="H139"/>
      <c r="I139" s="1" t="s">
        <v>276</v>
      </c>
    </row>
    <row r="140" spans="1:9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13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1" t="s">
        <v>148</v>
      </c>
      <c r="B141" s="1" t="s">
        <v>165</v>
      </c>
      <c r="C141" s="1" t="s">
        <v>169</v>
      </c>
      <c r="D141"/>
      <c r="E141" s="1">
        <v>73348</v>
      </c>
      <c r="F141" s="13">
        <v>42981</v>
      </c>
      <c r="G141" s="1">
        <v>2</v>
      </c>
      <c r="H141"/>
      <c r="I141" s="1" t="s">
        <v>243</v>
      </c>
    </row>
    <row r="142" spans="1:9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13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13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1" t="s">
        <v>151</v>
      </c>
      <c r="B144" s="1" t="s">
        <v>160</v>
      </c>
      <c r="C144" s="1" t="s">
        <v>170</v>
      </c>
      <c r="D144"/>
      <c r="E144" s="1">
        <v>86775</v>
      </c>
      <c r="F144" s="13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13">
        <v>43009</v>
      </c>
      <c r="G145"/>
      <c r="H145"/>
      <c r="I145" s="1" t="s">
        <v>277</v>
      </c>
    </row>
    <row r="146" spans="1:9" x14ac:dyDescent="0.35">
      <c r="A146" s="1" t="s">
        <v>153</v>
      </c>
      <c r="B146" s="1" t="s">
        <v>159</v>
      </c>
      <c r="C146"/>
      <c r="D146"/>
      <c r="E146" s="1">
        <v>94148</v>
      </c>
      <c r="F146" s="13">
        <v>43016</v>
      </c>
      <c r="G146" s="1">
        <v>2</v>
      </c>
      <c r="H146"/>
      <c r="I146" s="1" t="s">
        <v>278</v>
      </c>
    </row>
    <row r="147" spans="1:9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13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13">
        <v>43030</v>
      </c>
      <c r="G148" s="1">
        <v>2</v>
      </c>
      <c r="H148"/>
      <c r="I148" s="1" t="s">
        <v>276</v>
      </c>
    </row>
    <row r="149" spans="1:9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13">
        <v>43037</v>
      </c>
      <c r="G149" s="1">
        <v>1</v>
      </c>
      <c r="H149"/>
      <c r="I149" s="1" t="s">
        <v>279</v>
      </c>
    </row>
    <row r="150" spans="1:9" x14ac:dyDescent="0.35">
      <c r="A150" s="1" t="s">
        <v>157</v>
      </c>
      <c r="B150" s="1" t="s">
        <v>165</v>
      </c>
      <c r="C150"/>
      <c r="D150" s="1" t="s">
        <v>175</v>
      </c>
      <c r="E150" s="1">
        <v>67335</v>
      </c>
      <c r="F150" s="13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13">
        <v>43051</v>
      </c>
      <c r="G151" s="1">
        <v>5</v>
      </c>
      <c r="H151" s="1" t="s">
        <v>179</v>
      </c>
      <c r="I151" s="1" t="s">
        <v>280</v>
      </c>
    </row>
  </sheetData>
  <conditionalFormatting sqref="A1:A1048576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10E-3C1A-4598-AC3D-F0E524850CD7}">
  <sheetPr>
    <tabColor theme="6" tint="0.79998168889431442"/>
  </sheetPr>
  <dimension ref="B3:S150"/>
  <sheetViews>
    <sheetView topLeftCell="A34" workbookViewId="0">
      <selection activeCell="L62" sqref="L62"/>
    </sheetView>
  </sheetViews>
  <sheetFormatPr defaultRowHeight="14.5" x14ac:dyDescent="0.35"/>
  <cols>
    <col min="11" max="11" width="14.1796875" customWidth="1"/>
    <col min="12" max="12" width="18.26953125" bestFit="1" customWidth="1"/>
    <col min="13" max="13" width="11.7265625" bestFit="1" customWidth="1"/>
    <col min="14" max="14" width="12" bestFit="1" customWidth="1"/>
    <col min="15" max="15" width="15.26953125" customWidth="1"/>
    <col min="16" max="16" width="14.26953125" bestFit="1" customWidth="1"/>
    <col min="17" max="17" width="16.7265625" customWidth="1"/>
    <col min="18" max="18" width="12" bestFit="1" customWidth="1"/>
    <col min="19" max="19" width="13.1796875" customWidth="1"/>
  </cols>
  <sheetData>
    <row r="3" spans="2:19" x14ac:dyDescent="0.35">
      <c r="B3" s="44" t="s">
        <v>281</v>
      </c>
      <c r="C3" s="45"/>
      <c r="D3" s="45"/>
      <c r="E3" s="45"/>
      <c r="F3" s="45"/>
      <c r="G3" s="45"/>
      <c r="H3" s="45"/>
      <c r="I3" s="45"/>
      <c r="J3" s="15" t="s">
        <v>282</v>
      </c>
      <c r="K3" s="15" t="s">
        <v>298</v>
      </c>
      <c r="L3" s="14"/>
      <c r="M3" s="14"/>
    </row>
    <row r="4" spans="2:19" ht="29" x14ac:dyDescent="0.35">
      <c r="B4" s="45"/>
      <c r="C4" s="45"/>
      <c r="D4" s="45"/>
      <c r="E4" s="45"/>
      <c r="F4" s="45"/>
      <c r="G4" s="45"/>
      <c r="H4" s="45"/>
      <c r="I4" s="45"/>
      <c r="K4" s="4" t="s">
        <v>0</v>
      </c>
      <c r="L4" s="4" t="s">
        <v>1</v>
      </c>
      <c r="M4" s="4" t="s">
        <v>2</v>
      </c>
      <c r="N4" s="4" t="s">
        <v>3</v>
      </c>
      <c r="O4" s="4" t="s">
        <v>4</v>
      </c>
      <c r="P4" s="4" t="s">
        <v>5</v>
      </c>
      <c r="Q4" s="5" t="s">
        <v>6</v>
      </c>
      <c r="R4" s="4" t="s">
        <v>7</v>
      </c>
      <c r="S4" s="4" t="s">
        <v>8</v>
      </c>
    </row>
    <row r="5" spans="2:19" ht="29" x14ac:dyDescent="0.35">
      <c r="B5" s="45"/>
      <c r="C5" s="45"/>
      <c r="D5" s="45"/>
      <c r="E5" s="45"/>
      <c r="F5" s="45"/>
      <c r="G5" s="45"/>
      <c r="H5" s="45"/>
      <c r="I5" s="45"/>
      <c r="K5" s="7" t="s">
        <v>283</v>
      </c>
      <c r="L5" s="7" t="s">
        <v>286</v>
      </c>
      <c r="M5" s="3" t="s">
        <v>286</v>
      </c>
      <c r="N5" s="3" t="s">
        <v>286</v>
      </c>
      <c r="O5" s="7" t="s">
        <v>291</v>
      </c>
      <c r="P5" s="7" t="s">
        <v>294</v>
      </c>
      <c r="Q5" s="8" t="s">
        <v>292</v>
      </c>
      <c r="R5" s="7" t="s">
        <v>286</v>
      </c>
      <c r="S5" s="7" t="s">
        <v>285</v>
      </c>
    </row>
    <row r="6" spans="2:19" ht="33" customHeight="1" x14ac:dyDescent="0.35">
      <c r="B6" s="45"/>
      <c r="C6" s="45"/>
      <c r="D6" s="45"/>
      <c r="E6" s="45"/>
      <c r="F6" s="45"/>
      <c r="G6" s="45"/>
      <c r="H6" s="45"/>
      <c r="I6" s="45"/>
      <c r="K6" s="7" t="s">
        <v>284</v>
      </c>
      <c r="L6" s="7" t="s">
        <v>288</v>
      </c>
      <c r="M6" s="7" t="s">
        <v>290</v>
      </c>
      <c r="N6" s="7" t="s">
        <v>290</v>
      </c>
      <c r="O6" s="8" t="s">
        <v>292</v>
      </c>
      <c r="P6" s="8" t="s">
        <v>292</v>
      </c>
      <c r="Q6" s="7" t="s">
        <v>286</v>
      </c>
      <c r="R6" s="7" t="s">
        <v>289</v>
      </c>
      <c r="S6" s="7" t="s">
        <v>296</v>
      </c>
    </row>
    <row r="7" spans="2:19" ht="29" x14ac:dyDescent="0.35">
      <c r="B7" s="45"/>
      <c r="C7" s="45"/>
      <c r="D7" s="45"/>
      <c r="E7" s="45"/>
      <c r="F7" s="45"/>
      <c r="G7" s="45"/>
      <c r="H7" s="45"/>
      <c r="I7" s="45"/>
      <c r="K7" s="7" t="s">
        <v>287</v>
      </c>
      <c r="L7" s="7" t="s">
        <v>289</v>
      </c>
      <c r="M7" s="7" t="s">
        <v>289</v>
      </c>
      <c r="N7" s="7" t="s">
        <v>289</v>
      </c>
      <c r="O7" s="7" t="s">
        <v>293</v>
      </c>
      <c r="P7" s="7" t="s">
        <v>286</v>
      </c>
      <c r="Q7" s="3"/>
      <c r="R7" s="8" t="s">
        <v>295</v>
      </c>
      <c r="S7" s="8" t="s">
        <v>297</v>
      </c>
    </row>
    <row r="8" spans="2:19" ht="29.25" customHeight="1" x14ac:dyDescent="0.35">
      <c r="B8" s="45"/>
      <c r="C8" s="45"/>
      <c r="D8" s="45"/>
      <c r="E8" s="45"/>
      <c r="F8" s="45"/>
      <c r="G8" s="45"/>
      <c r="H8" s="45"/>
      <c r="I8" s="45"/>
      <c r="K8" s="7" t="s">
        <v>285</v>
      </c>
      <c r="L8" s="8" t="s">
        <v>295</v>
      </c>
      <c r="M8" s="8" t="s">
        <v>295</v>
      </c>
      <c r="N8" s="8" t="s">
        <v>295</v>
      </c>
      <c r="O8" s="7"/>
      <c r="P8" s="7"/>
      <c r="Q8" s="7"/>
      <c r="R8" s="7"/>
      <c r="S8" s="7"/>
    </row>
    <row r="9" spans="2:19" x14ac:dyDescent="0.35">
      <c r="B9" s="45"/>
      <c r="C9" s="45"/>
      <c r="D9" s="45"/>
      <c r="E9" s="45"/>
      <c r="F9" s="45"/>
      <c r="G9" s="45"/>
      <c r="H9" s="45"/>
      <c r="I9" s="45"/>
      <c r="J9" s="14" t="s">
        <v>312</v>
      </c>
      <c r="K9" s="3" t="s">
        <v>313</v>
      </c>
    </row>
    <row r="10" spans="2:19" x14ac:dyDescent="0.35">
      <c r="B10" s="45"/>
      <c r="C10" s="45"/>
      <c r="D10" s="45"/>
      <c r="E10" s="45"/>
      <c r="F10" s="45"/>
      <c r="G10" s="45"/>
      <c r="H10" s="45"/>
      <c r="I10" s="45"/>
      <c r="J10" s="14" t="s">
        <v>314</v>
      </c>
      <c r="K10" s="3" t="s">
        <v>315</v>
      </c>
    </row>
    <row r="11" spans="2:19" x14ac:dyDescent="0.35">
      <c r="B11" s="45"/>
      <c r="C11" s="45"/>
      <c r="D11" s="45"/>
      <c r="E11" s="45"/>
      <c r="F11" s="45"/>
      <c r="G11" s="45"/>
      <c r="H11" s="45"/>
      <c r="I11" s="45"/>
      <c r="J11" s="14" t="s">
        <v>329</v>
      </c>
      <c r="K11" t="s">
        <v>332</v>
      </c>
    </row>
    <row r="12" spans="2:19" x14ac:dyDescent="0.35">
      <c r="B12" s="45"/>
      <c r="C12" s="45"/>
      <c r="D12" s="45"/>
      <c r="E12" s="45"/>
      <c r="F12" s="45"/>
      <c r="G12" s="45"/>
      <c r="H12" s="45"/>
      <c r="I12" s="45"/>
      <c r="J12" s="14" t="s">
        <v>330</v>
      </c>
      <c r="K12" t="s">
        <v>346</v>
      </c>
    </row>
    <row r="13" spans="2:19" x14ac:dyDescent="0.35">
      <c r="B13" s="45"/>
      <c r="C13" s="45"/>
      <c r="D13" s="45"/>
      <c r="E13" s="45"/>
      <c r="F13" s="45"/>
      <c r="G13" s="45"/>
      <c r="H13" s="45"/>
      <c r="I13" s="45"/>
      <c r="J13" s="14" t="s">
        <v>331</v>
      </c>
      <c r="K13" t="s">
        <v>333</v>
      </c>
    </row>
    <row r="14" spans="2:19" x14ac:dyDescent="0.35">
      <c r="B14" s="45"/>
      <c r="C14" s="45"/>
      <c r="D14" s="45"/>
      <c r="E14" s="45"/>
      <c r="F14" s="45"/>
      <c r="G14" s="45"/>
      <c r="H14" s="45"/>
      <c r="I14" s="45"/>
    </row>
    <row r="15" spans="2:19" x14ac:dyDescent="0.35">
      <c r="B15" s="45"/>
      <c r="C15" s="45"/>
      <c r="D15" s="45"/>
      <c r="E15" s="45"/>
      <c r="F15" s="45"/>
      <c r="G15" s="45"/>
      <c r="H15" s="45"/>
      <c r="I15" s="45"/>
    </row>
    <row r="16" spans="2:19" x14ac:dyDescent="0.35">
      <c r="B16" s="45"/>
      <c r="C16" s="45"/>
      <c r="D16" s="45"/>
      <c r="E16" s="45"/>
      <c r="F16" s="45"/>
      <c r="G16" s="45"/>
      <c r="H16" s="45"/>
      <c r="I16" s="45"/>
    </row>
    <row r="17" spans="2:9" x14ac:dyDescent="0.35">
      <c r="B17" s="45"/>
      <c r="C17" s="45"/>
      <c r="D17" s="45"/>
      <c r="E17" s="45"/>
      <c r="F17" s="45"/>
      <c r="G17" s="45"/>
      <c r="H17" s="45"/>
      <c r="I17" s="45"/>
    </row>
    <row r="18" spans="2:9" x14ac:dyDescent="0.35">
      <c r="B18" s="45"/>
      <c r="C18" s="45"/>
      <c r="D18" s="45"/>
      <c r="E18" s="45"/>
      <c r="F18" s="45"/>
      <c r="G18" s="45"/>
      <c r="H18" s="45"/>
      <c r="I18" s="45"/>
    </row>
    <row r="19" spans="2:9" x14ac:dyDescent="0.35">
      <c r="B19" s="45"/>
      <c r="C19" s="45"/>
      <c r="D19" s="45"/>
      <c r="E19" s="45"/>
      <c r="F19" s="45"/>
      <c r="G19" s="45"/>
      <c r="H19" s="45"/>
      <c r="I19" s="45"/>
    </row>
    <row r="20" spans="2:9" x14ac:dyDescent="0.35">
      <c r="B20" s="45"/>
      <c r="C20" s="45"/>
      <c r="D20" s="45"/>
      <c r="E20" s="45"/>
      <c r="F20" s="45"/>
      <c r="G20" s="45"/>
      <c r="H20" s="45"/>
      <c r="I20" s="45"/>
    </row>
    <row r="21" spans="2:9" x14ac:dyDescent="0.35">
      <c r="B21" s="45"/>
      <c r="C21" s="45"/>
      <c r="D21" s="45"/>
      <c r="E21" s="45"/>
      <c r="F21" s="45"/>
      <c r="G21" s="45"/>
      <c r="H21" s="45"/>
      <c r="I21" s="45"/>
    </row>
    <row r="22" spans="2:9" x14ac:dyDescent="0.35">
      <c r="B22" s="45"/>
      <c r="C22" s="45"/>
      <c r="D22" s="45"/>
      <c r="E22" s="45"/>
      <c r="F22" s="45"/>
      <c r="G22" s="45"/>
      <c r="H22" s="45"/>
      <c r="I22" s="45"/>
    </row>
    <row r="23" spans="2:9" x14ac:dyDescent="0.35">
      <c r="B23" s="45"/>
      <c r="C23" s="45"/>
      <c r="D23" s="45"/>
      <c r="E23" s="45"/>
      <c r="F23" s="45"/>
      <c r="G23" s="45"/>
      <c r="H23" s="45"/>
      <c r="I23" s="45"/>
    </row>
    <row r="24" spans="2:9" x14ac:dyDescent="0.35">
      <c r="B24" s="45"/>
      <c r="C24" s="45"/>
      <c r="D24" s="45"/>
      <c r="E24" s="45"/>
      <c r="F24" s="45"/>
      <c r="G24" s="45"/>
      <c r="H24" s="45"/>
      <c r="I24" s="45"/>
    </row>
    <row r="25" spans="2:9" x14ac:dyDescent="0.35">
      <c r="B25" s="45"/>
      <c r="C25" s="45"/>
      <c r="D25" s="45"/>
      <c r="E25" s="45"/>
      <c r="F25" s="45"/>
      <c r="G25" s="45"/>
      <c r="H25" s="45"/>
      <c r="I25" s="45"/>
    </row>
    <row r="26" spans="2:9" x14ac:dyDescent="0.35">
      <c r="B26" s="45"/>
      <c r="C26" s="45"/>
      <c r="D26" s="45"/>
      <c r="E26" s="45"/>
      <c r="F26" s="45"/>
      <c r="G26" s="45"/>
      <c r="H26" s="45"/>
      <c r="I26" s="45"/>
    </row>
    <row r="27" spans="2:9" x14ac:dyDescent="0.35">
      <c r="B27" s="45"/>
      <c r="C27" s="45"/>
      <c r="D27" s="45"/>
      <c r="E27" s="45"/>
      <c r="F27" s="45"/>
      <c r="G27" s="45"/>
      <c r="H27" s="45"/>
      <c r="I27" s="45"/>
    </row>
    <row r="28" spans="2:9" x14ac:dyDescent="0.35">
      <c r="B28" s="45"/>
      <c r="C28" s="45"/>
      <c r="D28" s="45"/>
      <c r="E28" s="45"/>
      <c r="F28" s="45"/>
      <c r="G28" s="45"/>
      <c r="H28" s="45"/>
      <c r="I28" s="45"/>
    </row>
    <row r="29" spans="2:9" x14ac:dyDescent="0.35">
      <c r="B29" s="45"/>
      <c r="C29" s="45"/>
      <c r="D29" s="45"/>
      <c r="E29" s="45"/>
      <c r="F29" s="45"/>
      <c r="G29" s="45"/>
      <c r="H29" s="45"/>
      <c r="I29" s="45"/>
    </row>
    <row r="30" spans="2:9" x14ac:dyDescent="0.35">
      <c r="B30" s="45"/>
      <c r="C30" s="45"/>
      <c r="D30" s="45"/>
      <c r="E30" s="45"/>
      <c r="F30" s="45"/>
      <c r="G30" s="45"/>
      <c r="H30" s="45"/>
      <c r="I30" s="45"/>
    </row>
    <row r="31" spans="2:9" x14ac:dyDescent="0.35">
      <c r="B31" s="45"/>
      <c r="C31" s="45"/>
      <c r="D31" s="45"/>
      <c r="E31" s="45"/>
      <c r="F31" s="45"/>
      <c r="G31" s="45"/>
      <c r="H31" s="45"/>
      <c r="I31" s="45"/>
    </row>
    <row r="32" spans="2:9" x14ac:dyDescent="0.35">
      <c r="B32" s="45"/>
      <c r="C32" s="45"/>
      <c r="D32" s="45"/>
      <c r="E32" s="45"/>
      <c r="F32" s="45"/>
      <c r="G32" s="45"/>
      <c r="H32" s="45"/>
      <c r="I32" s="45"/>
    </row>
    <row r="33" spans="2:17" x14ac:dyDescent="0.35">
      <c r="B33" s="45"/>
      <c r="C33" s="45"/>
      <c r="D33" s="45"/>
      <c r="E33" s="45"/>
      <c r="F33" s="45"/>
      <c r="G33" s="45"/>
      <c r="H33" s="45"/>
      <c r="I33" s="45"/>
    </row>
    <row r="34" spans="2:17" x14ac:dyDescent="0.35">
      <c r="B34" s="45"/>
      <c r="C34" s="45"/>
      <c r="D34" s="45"/>
      <c r="E34" s="45"/>
      <c r="F34" s="45"/>
      <c r="G34" s="45"/>
      <c r="H34" s="45"/>
      <c r="I34" s="45"/>
    </row>
    <row r="35" spans="2:17" x14ac:dyDescent="0.35">
      <c r="B35" s="45"/>
      <c r="C35" s="45"/>
      <c r="D35" s="45"/>
      <c r="E35" s="45"/>
      <c r="F35" s="45"/>
      <c r="G35" s="45"/>
      <c r="H35" s="45"/>
      <c r="I35" s="45"/>
    </row>
    <row r="36" spans="2:17" x14ac:dyDescent="0.35">
      <c r="B36" s="45"/>
      <c r="C36" s="45"/>
      <c r="D36" s="45"/>
      <c r="E36" s="45"/>
      <c r="F36" s="45"/>
      <c r="G36" s="45"/>
      <c r="H36" s="45"/>
      <c r="I36" s="45"/>
    </row>
    <row r="37" spans="2:17" x14ac:dyDescent="0.35">
      <c r="B37" s="45"/>
      <c r="C37" s="45"/>
      <c r="D37" s="45"/>
      <c r="E37" s="45"/>
      <c r="F37" s="45"/>
      <c r="G37" s="45"/>
      <c r="H37" s="45"/>
      <c r="I37" s="45"/>
    </row>
    <row r="40" spans="2:17" ht="15" customHeight="1" x14ac:dyDescent="0.35">
      <c r="B40" s="44" t="s">
        <v>396</v>
      </c>
      <c r="C40" s="44"/>
      <c r="D40" s="44"/>
      <c r="E40" s="44"/>
      <c r="F40" s="44"/>
      <c r="G40" s="44"/>
      <c r="H40" s="44"/>
      <c r="I40" s="44"/>
    </row>
    <row r="41" spans="2:17" x14ac:dyDescent="0.35">
      <c r="B41" s="44"/>
      <c r="C41" s="44"/>
      <c r="D41" s="44"/>
      <c r="E41" s="44"/>
      <c r="F41" s="44"/>
      <c r="G41" s="44"/>
      <c r="H41" s="44"/>
      <c r="I41" s="44"/>
      <c r="J41" s="14" t="s">
        <v>353</v>
      </c>
      <c r="K41" s="46" t="s">
        <v>394</v>
      </c>
      <c r="L41" s="46"/>
      <c r="M41" s="46"/>
      <c r="N41" s="46"/>
    </row>
    <row r="42" spans="2:17" x14ac:dyDescent="0.35">
      <c r="B42" s="44"/>
      <c r="C42" s="44"/>
      <c r="D42" s="44"/>
      <c r="E42" s="44"/>
      <c r="F42" s="44"/>
      <c r="G42" s="44"/>
      <c r="H42" s="44"/>
      <c r="I42" s="44"/>
      <c r="J42" s="14" t="s">
        <v>382</v>
      </c>
      <c r="K42" s="47" t="s">
        <v>391</v>
      </c>
      <c r="L42" s="47"/>
      <c r="M42" s="47"/>
      <c r="N42" s="47"/>
    </row>
    <row r="43" spans="2:17" x14ac:dyDescent="0.35">
      <c r="B43" s="44"/>
      <c r="C43" s="44"/>
      <c r="D43" s="44"/>
      <c r="E43" s="44"/>
      <c r="F43" s="44"/>
      <c r="G43" s="44"/>
      <c r="H43" s="44"/>
      <c r="I43" s="44"/>
      <c r="J43" s="14" t="s">
        <v>383</v>
      </c>
      <c r="K43" s="46" t="s">
        <v>388</v>
      </c>
      <c r="L43" s="46"/>
      <c r="M43" s="46"/>
      <c r="N43" s="46"/>
      <c r="O43" s="46"/>
    </row>
    <row r="44" spans="2:17" x14ac:dyDescent="0.35">
      <c r="B44" s="44"/>
      <c r="C44" s="44"/>
      <c r="D44" s="44"/>
      <c r="E44" s="44"/>
      <c r="F44" s="44"/>
      <c r="G44" s="44"/>
      <c r="H44" s="44"/>
      <c r="I44" s="44"/>
      <c r="J44" s="14" t="s">
        <v>384</v>
      </c>
      <c r="K44" s="46" t="s">
        <v>395</v>
      </c>
      <c r="L44" s="46"/>
    </row>
    <row r="45" spans="2:17" x14ac:dyDescent="0.35">
      <c r="B45" s="44"/>
      <c r="C45" s="44"/>
      <c r="D45" s="44"/>
      <c r="E45" s="44"/>
      <c r="F45" s="44"/>
      <c r="G45" s="44"/>
      <c r="H45" s="44"/>
      <c r="I45" s="44"/>
      <c r="J45" s="14" t="s">
        <v>385</v>
      </c>
      <c r="K45" s="46" t="s">
        <v>400</v>
      </c>
      <c r="L45" s="46"/>
      <c r="M45" s="46"/>
      <c r="N45" s="46"/>
    </row>
    <row r="46" spans="2:17" x14ac:dyDescent="0.35">
      <c r="B46" s="44"/>
      <c r="C46" s="44"/>
      <c r="D46" s="44"/>
      <c r="E46" s="44"/>
      <c r="F46" s="44"/>
      <c r="G46" s="44"/>
      <c r="H46" s="44"/>
      <c r="I46" s="44"/>
      <c r="J46" s="14" t="s">
        <v>386</v>
      </c>
      <c r="K46" s="46" t="s">
        <v>407</v>
      </c>
      <c r="L46" s="46"/>
      <c r="M46" s="46"/>
    </row>
    <row r="47" spans="2:17" x14ac:dyDescent="0.35">
      <c r="B47" s="44"/>
      <c r="C47" s="44"/>
      <c r="D47" s="44"/>
      <c r="E47" s="44"/>
      <c r="F47" s="44"/>
      <c r="G47" s="44"/>
      <c r="H47" s="44"/>
      <c r="I47" s="44"/>
      <c r="J47" s="14" t="s">
        <v>387</v>
      </c>
      <c r="K47" s="46" t="s">
        <v>408</v>
      </c>
      <c r="L47" s="46"/>
      <c r="M47" s="46"/>
      <c r="N47" s="46"/>
      <c r="O47" s="46"/>
      <c r="P47" s="46"/>
      <c r="Q47" s="46"/>
    </row>
    <row r="48" spans="2:17" x14ac:dyDescent="0.35">
      <c r="B48" s="44"/>
      <c r="C48" s="44"/>
      <c r="D48" s="44"/>
      <c r="E48" s="44"/>
      <c r="F48" s="44"/>
      <c r="G48" s="44"/>
      <c r="H48" s="44"/>
      <c r="I48" s="44"/>
    </row>
    <row r="49" spans="2:9" x14ac:dyDescent="0.35">
      <c r="B49" s="44"/>
      <c r="C49" s="44"/>
      <c r="D49" s="44"/>
      <c r="E49" s="44"/>
      <c r="F49" s="44"/>
      <c r="G49" s="44"/>
      <c r="H49" s="44"/>
      <c r="I49" s="44"/>
    </row>
    <row r="50" spans="2:9" x14ac:dyDescent="0.35">
      <c r="B50" s="44"/>
      <c r="C50" s="44"/>
      <c r="D50" s="44"/>
      <c r="E50" s="44"/>
      <c r="F50" s="44"/>
      <c r="G50" s="44"/>
      <c r="H50" s="44"/>
      <c r="I50" s="44"/>
    </row>
    <row r="51" spans="2:9" x14ac:dyDescent="0.35">
      <c r="B51" s="44"/>
      <c r="C51" s="44"/>
      <c r="D51" s="44"/>
      <c r="E51" s="44"/>
      <c r="F51" s="44"/>
      <c r="G51" s="44"/>
      <c r="H51" s="44"/>
      <c r="I51" s="44"/>
    </row>
    <row r="52" spans="2:9" x14ac:dyDescent="0.35">
      <c r="B52" s="44"/>
      <c r="C52" s="44"/>
      <c r="D52" s="44"/>
      <c r="E52" s="44"/>
      <c r="F52" s="44"/>
      <c r="G52" s="44"/>
      <c r="H52" s="44"/>
      <c r="I52" s="44"/>
    </row>
    <row r="53" spans="2:9" x14ac:dyDescent="0.35">
      <c r="B53" s="44"/>
      <c r="C53" s="44"/>
      <c r="D53" s="44"/>
      <c r="E53" s="44"/>
      <c r="F53" s="44"/>
      <c r="G53" s="44"/>
      <c r="H53" s="44"/>
      <c r="I53" s="44"/>
    </row>
    <row r="54" spans="2:9" x14ac:dyDescent="0.35">
      <c r="B54" s="44"/>
      <c r="C54" s="44"/>
      <c r="D54" s="44"/>
      <c r="E54" s="44"/>
      <c r="F54" s="44"/>
      <c r="G54" s="44"/>
      <c r="H54" s="44"/>
      <c r="I54" s="44"/>
    </row>
    <row r="55" spans="2:9" x14ac:dyDescent="0.35">
      <c r="B55" s="44"/>
      <c r="C55" s="44"/>
      <c r="D55" s="44"/>
      <c r="E55" s="44"/>
      <c r="F55" s="44"/>
      <c r="G55" s="44"/>
      <c r="H55" s="44"/>
      <c r="I55" s="44"/>
    </row>
    <row r="56" spans="2:9" x14ac:dyDescent="0.35">
      <c r="B56" s="44"/>
      <c r="C56" s="44"/>
      <c r="D56" s="44"/>
      <c r="E56" s="44"/>
      <c r="F56" s="44"/>
      <c r="G56" s="44"/>
      <c r="H56" s="44"/>
      <c r="I56" s="44"/>
    </row>
    <row r="57" spans="2:9" x14ac:dyDescent="0.35">
      <c r="B57" s="44"/>
      <c r="C57" s="44"/>
      <c r="D57" s="44"/>
      <c r="E57" s="44"/>
      <c r="F57" s="44"/>
      <c r="G57" s="44"/>
      <c r="H57" s="44"/>
      <c r="I57" s="44"/>
    </row>
    <row r="58" spans="2:9" x14ac:dyDescent="0.35">
      <c r="B58" s="44"/>
      <c r="C58" s="44"/>
      <c r="D58" s="44"/>
      <c r="E58" s="44"/>
      <c r="F58" s="44"/>
      <c r="G58" s="44"/>
      <c r="H58" s="44"/>
      <c r="I58" s="44"/>
    </row>
    <row r="59" spans="2:9" x14ac:dyDescent="0.35">
      <c r="B59" s="44"/>
      <c r="C59" s="44"/>
      <c r="D59" s="44"/>
      <c r="E59" s="44"/>
      <c r="F59" s="44"/>
      <c r="G59" s="44"/>
      <c r="H59" s="44"/>
      <c r="I59" s="44"/>
    </row>
    <row r="60" spans="2:9" x14ac:dyDescent="0.35">
      <c r="B60" s="44"/>
      <c r="C60" s="44"/>
      <c r="D60" s="44"/>
      <c r="E60" s="44"/>
      <c r="F60" s="44"/>
      <c r="G60" s="44"/>
      <c r="H60" s="44"/>
      <c r="I60" s="44"/>
    </row>
    <row r="61" spans="2:9" x14ac:dyDescent="0.35">
      <c r="B61" s="44"/>
      <c r="C61" s="44"/>
      <c r="D61" s="44"/>
      <c r="E61" s="44"/>
      <c r="F61" s="44"/>
      <c r="G61" s="44"/>
      <c r="H61" s="44"/>
      <c r="I61" s="44"/>
    </row>
    <row r="62" spans="2:9" x14ac:dyDescent="0.35">
      <c r="B62" s="44"/>
      <c r="C62" s="44"/>
      <c r="D62" s="44"/>
      <c r="E62" s="44"/>
      <c r="F62" s="44"/>
      <c r="G62" s="44"/>
      <c r="H62" s="44"/>
      <c r="I62" s="44"/>
    </row>
    <row r="63" spans="2:9" x14ac:dyDescent="0.35">
      <c r="B63" s="44"/>
      <c r="C63" s="44"/>
      <c r="D63" s="44"/>
      <c r="E63" s="44"/>
      <c r="F63" s="44"/>
      <c r="G63" s="44"/>
      <c r="H63" s="44"/>
      <c r="I63" s="44"/>
    </row>
    <row r="64" spans="2:9" x14ac:dyDescent="0.35">
      <c r="B64" s="44"/>
      <c r="C64" s="44"/>
      <c r="D64" s="44"/>
      <c r="E64" s="44"/>
      <c r="F64" s="44"/>
      <c r="G64" s="44"/>
      <c r="H64" s="44"/>
      <c r="I64" s="44"/>
    </row>
    <row r="65" spans="2:9" x14ac:dyDescent="0.35">
      <c r="B65" s="44"/>
      <c r="C65" s="44"/>
      <c r="D65" s="44"/>
      <c r="E65" s="44"/>
      <c r="F65" s="44"/>
      <c r="G65" s="44"/>
      <c r="H65" s="44"/>
      <c r="I65" s="44"/>
    </row>
    <row r="66" spans="2:9" x14ac:dyDescent="0.35">
      <c r="B66" s="44"/>
      <c r="C66" s="44"/>
      <c r="D66" s="44"/>
      <c r="E66" s="44"/>
      <c r="F66" s="44"/>
      <c r="G66" s="44"/>
      <c r="H66" s="44"/>
      <c r="I66" s="44"/>
    </row>
    <row r="67" spans="2:9" x14ac:dyDescent="0.35">
      <c r="B67" s="44"/>
      <c r="C67" s="44"/>
      <c r="D67" s="44"/>
      <c r="E67" s="44"/>
      <c r="F67" s="44"/>
      <c r="G67" s="44"/>
      <c r="H67" s="44"/>
      <c r="I67" s="44"/>
    </row>
    <row r="68" spans="2:9" x14ac:dyDescent="0.35">
      <c r="B68" s="44"/>
      <c r="C68" s="44"/>
      <c r="D68" s="44"/>
      <c r="E68" s="44"/>
      <c r="F68" s="44"/>
      <c r="G68" s="44"/>
      <c r="H68" s="44"/>
      <c r="I68" s="44"/>
    </row>
    <row r="69" spans="2:9" x14ac:dyDescent="0.35">
      <c r="B69" s="44"/>
      <c r="C69" s="44"/>
      <c r="D69" s="44"/>
      <c r="E69" s="44"/>
      <c r="F69" s="44"/>
      <c r="G69" s="44"/>
      <c r="H69" s="44"/>
      <c r="I69" s="44"/>
    </row>
    <row r="70" spans="2:9" x14ac:dyDescent="0.35">
      <c r="B70" s="44"/>
      <c r="C70" s="44"/>
      <c r="D70" s="44"/>
      <c r="E70" s="44"/>
      <c r="F70" s="44"/>
      <c r="G70" s="44"/>
      <c r="H70" s="44"/>
      <c r="I70" s="44"/>
    </row>
    <row r="71" spans="2:9" x14ac:dyDescent="0.35">
      <c r="B71" s="44"/>
      <c r="C71" s="44"/>
      <c r="D71" s="44"/>
      <c r="E71" s="44"/>
      <c r="F71" s="44"/>
      <c r="G71" s="44"/>
      <c r="H71" s="44"/>
      <c r="I71" s="44"/>
    </row>
    <row r="72" spans="2:9" x14ac:dyDescent="0.35">
      <c r="B72" s="44"/>
      <c r="C72" s="44"/>
      <c r="D72" s="44"/>
      <c r="E72" s="44"/>
      <c r="F72" s="44"/>
      <c r="G72" s="44"/>
      <c r="H72" s="44"/>
      <c r="I72" s="44"/>
    </row>
    <row r="73" spans="2:9" x14ac:dyDescent="0.35">
      <c r="B73" s="44"/>
      <c r="C73" s="44"/>
      <c r="D73" s="44"/>
      <c r="E73" s="44"/>
      <c r="F73" s="44"/>
      <c r="G73" s="44"/>
      <c r="H73" s="44"/>
      <c r="I73" s="44"/>
    </row>
    <row r="74" spans="2:9" x14ac:dyDescent="0.35">
      <c r="B74" s="44"/>
      <c r="C74" s="44"/>
      <c r="D74" s="44"/>
      <c r="E74" s="44"/>
      <c r="F74" s="44"/>
      <c r="G74" s="44"/>
      <c r="H74" s="44"/>
      <c r="I74" s="44"/>
    </row>
    <row r="75" spans="2:9" x14ac:dyDescent="0.35">
      <c r="B75" s="44"/>
      <c r="C75" s="44"/>
      <c r="D75" s="44"/>
      <c r="E75" s="44"/>
      <c r="F75" s="44"/>
      <c r="G75" s="44"/>
      <c r="H75" s="44"/>
      <c r="I75" s="44"/>
    </row>
    <row r="76" spans="2:9" x14ac:dyDescent="0.35">
      <c r="B76" s="44"/>
      <c r="C76" s="44"/>
      <c r="D76" s="44"/>
      <c r="E76" s="44"/>
      <c r="F76" s="44"/>
      <c r="G76" s="44"/>
      <c r="H76" s="44"/>
      <c r="I76" s="44"/>
    </row>
    <row r="77" spans="2:9" x14ac:dyDescent="0.35">
      <c r="B77" s="44"/>
      <c r="C77" s="44"/>
      <c r="D77" s="44"/>
      <c r="E77" s="44"/>
      <c r="F77" s="44"/>
      <c r="G77" s="44"/>
      <c r="H77" s="44"/>
      <c r="I77" s="44"/>
    </row>
    <row r="78" spans="2:9" x14ac:dyDescent="0.35">
      <c r="B78" s="44"/>
      <c r="C78" s="44"/>
      <c r="D78" s="44"/>
      <c r="E78" s="44"/>
      <c r="F78" s="44"/>
      <c r="G78" s="44"/>
      <c r="H78" s="44"/>
      <c r="I78" s="44"/>
    </row>
    <row r="79" spans="2:9" x14ac:dyDescent="0.35">
      <c r="B79" s="44"/>
      <c r="C79" s="44"/>
      <c r="D79" s="44"/>
      <c r="E79" s="44"/>
      <c r="F79" s="44"/>
      <c r="G79" s="44"/>
      <c r="H79" s="44"/>
      <c r="I79" s="44"/>
    </row>
    <row r="80" spans="2:9" x14ac:dyDescent="0.35">
      <c r="B80" s="44"/>
      <c r="C80" s="44"/>
      <c r="D80" s="44"/>
      <c r="E80" s="44"/>
      <c r="F80" s="44"/>
      <c r="G80" s="44"/>
      <c r="H80" s="44"/>
      <c r="I80" s="44"/>
    </row>
    <row r="83" spans="2:10" ht="14.5" customHeight="1" x14ac:dyDescent="0.35">
      <c r="B83" s="35" t="s">
        <v>409</v>
      </c>
      <c r="C83" s="36"/>
      <c r="D83" s="36"/>
      <c r="E83" s="36"/>
      <c r="F83" s="36"/>
      <c r="G83" s="36"/>
      <c r="H83" s="36"/>
      <c r="I83" s="37"/>
      <c r="J83" s="34"/>
    </row>
    <row r="84" spans="2:10" x14ac:dyDescent="0.35">
      <c r="B84" s="38"/>
      <c r="C84" s="39"/>
      <c r="D84" s="39"/>
      <c r="E84" s="39"/>
      <c r="F84" s="39"/>
      <c r="G84" s="39"/>
      <c r="H84" s="39"/>
      <c r="I84" s="40"/>
      <c r="J84" s="34"/>
    </row>
    <row r="85" spans="2:10" x14ac:dyDescent="0.35">
      <c r="B85" s="38"/>
      <c r="C85" s="39"/>
      <c r="D85" s="39"/>
      <c r="E85" s="39"/>
      <c r="F85" s="39"/>
      <c r="G85" s="39"/>
      <c r="H85" s="39"/>
      <c r="I85" s="40"/>
      <c r="J85" s="34"/>
    </row>
    <row r="86" spans="2:10" x14ac:dyDescent="0.35">
      <c r="B86" s="38"/>
      <c r="C86" s="39"/>
      <c r="D86" s="39"/>
      <c r="E86" s="39"/>
      <c r="F86" s="39"/>
      <c r="G86" s="39"/>
      <c r="H86" s="39"/>
      <c r="I86" s="40"/>
      <c r="J86" s="34"/>
    </row>
    <row r="87" spans="2:10" x14ac:dyDescent="0.35">
      <c r="B87" s="38"/>
      <c r="C87" s="39"/>
      <c r="D87" s="39"/>
      <c r="E87" s="39"/>
      <c r="F87" s="39"/>
      <c r="G87" s="39"/>
      <c r="H87" s="39"/>
      <c r="I87" s="40"/>
      <c r="J87" s="34"/>
    </row>
    <row r="88" spans="2:10" x14ac:dyDescent="0.35">
      <c r="B88" s="38"/>
      <c r="C88" s="39"/>
      <c r="D88" s="39"/>
      <c r="E88" s="39"/>
      <c r="F88" s="39"/>
      <c r="G88" s="39"/>
      <c r="H88" s="39"/>
      <c r="I88" s="40"/>
      <c r="J88" s="34"/>
    </row>
    <row r="89" spans="2:10" x14ac:dyDescent="0.35">
      <c r="B89" s="38"/>
      <c r="C89" s="39"/>
      <c r="D89" s="39"/>
      <c r="E89" s="39"/>
      <c r="F89" s="39"/>
      <c r="G89" s="39"/>
      <c r="H89" s="39"/>
      <c r="I89" s="40"/>
      <c r="J89" s="34"/>
    </row>
    <row r="90" spans="2:10" x14ac:dyDescent="0.35">
      <c r="B90" s="38"/>
      <c r="C90" s="39"/>
      <c r="D90" s="39"/>
      <c r="E90" s="39"/>
      <c r="F90" s="39"/>
      <c r="G90" s="39"/>
      <c r="H90" s="39"/>
      <c r="I90" s="40"/>
      <c r="J90" s="34"/>
    </row>
    <row r="91" spans="2:10" x14ac:dyDescent="0.35">
      <c r="B91" s="38"/>
      <c r="C91" s="39"/>
      <c r="D91" s="39"/>
      <c r="E91" s="39"/>
      <c r="F91" s="39"/>
      <c r="G91" s="39"/>
      <c r="H91" s="39"/>
      <c r="I91" s="40"/>
      <c r="J91" s="34"/>
    </row>
    <row r="92" spans="2:10" x14ac:dyDescent="0.35">
      <c r="B92" s="38"/>
      <c r="C92" s="39"/>
      <c r="D92" s="39"/>
      <c r="E92" s="39"/>
      <c r="F92" s="39"/>
      <c r="G92" s="39"/>
      <c r="H92" s="39"/>
      <c r="I92" s="40"/>
      <c r="J92" s="34"/>
    </row>
    <row r="93" spans="2:10" x14ac:dyDescent="0.35">
      <c r="B93" s="38"/>
      <c r="C93" s="39"/>
      <c r="D93" s="39"/>
      <c r="E93" s="39"/>
      <c r="F93" s="39"/>
      <c r="G93" s="39"/>
      <c r="H93" s="39"/>
      <c r="I93" s="40"/>
      <c r="J93" s="34"/>
    </row>
    <row r="94" spans="2:10" x14ac:dyDescent="0.35">
      <c r="B94" s="38"/>
      <c r="C94" s="39"/>
      <c r="D94" s="39"/>
      <c r="E94" s="39"/>
      <c r="F94" s="39"/>
      <c r="G94" s="39"/>
      <c r="H94" s="39"/>
      <c r="I94" s="40"/>
      <c r="J94" s="34"/>
    </row>
    <row r="95" spans="2:10" x14ac:dyDescent="0.35">
      <c r="B95" s="38"/>
      <c r="C95" s="39"/>
      <c r="D95" s="39"/>
      <c r="E95" s="39"/>
      <c r="F95" s="39"/>
      <c r="G95" s="39"/>
      <c r="H95" s="39"/>
      <c r="I95" s="40"/>
      <c r="J95" s="34"/>
    </row>
    <row r="96" spans="2:10" x14ac:dyDescent="0.35">
      <c r="B96" s="38"/>
      <c r="C96" s="39"/>
      <c r="D96" s="39"/>
      <c r="E96" s="39"/>
      <c r="F96" s="39"/>
      <c r="G96" s="39"/>
      <c r="H96" s="39"/>
      <c r="I96" s="40"/>
      <c r="J96" s="34"/>
    </row>
    <row r="97" spans="2:10" x14ac:dyDescent="0.35">
      <c r="B97" s="38"/>
      <c r="C97" s="39"/>
      <c r="D97" s="39"/>
      <c r="E97" s="39"/>
      <c r="F97" s="39"/>
      <c r="G97" s="39"/>
      <c r="H97" s="39"/>
      <c r="I97" s="40"/>
      <c r="J97" s="34"/>
    </row>
    <row r="98" spans="2:10" x14ac:dyDescent="0.35">
      <c r="B98" s="38"/>
      <c r="C98" s="39"/>
      <c r="D98" s="39"/>
      <c r="E98" s="39"/>
      <c r="F98" s="39"/>
      <c r="G98" s="39"/>
      <c r="H98" s="39"/>
      <c r="I98" s="40"/>
      <c r="J98" s="34"/>
    </row>
    <row r="99" spans="2:10" x14ac:dyDescent="0.35">
      <c r="B99" s="38"/>
      <c r="C99" s="39"/>
      <c r="D99" s="39"/>
      <c r="E99" s="39"/>
      <c r="F99" s="39"/>
      <c r="G99" s="39"/>
      <c r="H99" s="39"/>
      <c r="I99" s="40"/>
      <c r="J99" s="34"/>
    </row>
    <row r="100" spans="2:10" x14ac:dyDescent="0.35">
      <c r="B100" s="38"/>
      <c r="C100" s="39"/>
      <c r="D100" s="39"/>
      <c r="E100" s="39"/>
      <c r="F100" s="39"/>
      <c r="G100" s="39"/>
      <c r="H100" s="39"/>
      <c r="I100" s="40"/>
      <c r="J100" s="34"/>
    </row>
    <row r="101" spans="2:10" x14ac:dyDescent="0.35">
      <c r="B101" s="38"/>
      <c r="C101" s="39"/>
      <c r="D101" s="39"/>
      <c r="E101" s="39"/>
      <c r="F101" s="39"/>
      <c r="G101" s="39"/>
      <c r="H101" s="39"/>
      <c r="I101" s="40"/>
      <c r="J101" s="34"/>
    </row>
    <row r="102" spans="2:10" x14ac:dyDescent="0.35">
      <c r="B102" s="38"/>
      <c r="C102" s="39"/>
      <c r="D102" s="39"/>
      <c r="E102" s="39"/>
      <c r="F102" s="39"/>
      <c r="G102" s="39"/>
      <c r="H102" s="39"/>
      <c r="I102" s="40"/>
      <c r="J102" s="34"/>
    </row>
    <row r="103" spans="2:10" x14ac:dyDescent="0.35">
      <c r="B103" s="38"/>
      <c r="C103" s="39"/>
      <c r="D103" s="39"/>
      <c r="E103" s="39"/>
      <c r="F103" s="39"/>
      <c r="G103" s="39"/>
      <c r="H103" s="39"/>
      <c r="I103" s="40"/>
      <c r="J103" s="34"/>
    </row>
    <row r="104" spans="2:10" x14ac:dyDescent="0.35">
      <c r="B104" s="38"/>
      <c r="C104" s="39"/>
      <c r="D104" s="39"/>
      <c r="E104" s="39"/>
      <c r="F104" s="39"/>
      <c r="G104" s="39"/>
      <c r="H104" s="39"/>
      <c r="I104" s="40"/>
      <c r="J104" s="34"/>
    </row>
    <row r="105" spans="2:10" x14ac:dyDescent="0.35">
      <c r="B105" s="38"/>
      <c r="C105" s="39"/>
      <c r="D105" s="39"/>
      <c r="E105" s="39"/>
      <c r="F105" s="39"/>
      <c r="G105" s="39"/>
      <c r="H105" s="39"/>
      <c r="I105" s="40"/>
      <c r="J105" s="34"/>
    </row>
    <row r="106" spans="2:10" x14ac:dyDescent="0.35">
      <c r="B106" s="38"/>
      <c r="C106" s="39"/>
      <c r="D106" s="39"/>
      <c r="E106" s="39"/>
      <c r="F106" s="39"/>
      <c r="G106" s="39"/>
      <c r="H106" s="39"/>
      <c r="I106" s="40"/>
      <c r="J106" s="34"/>
    </row>
    <row r="107" spans="2:10" x14ac:dyDescent="0.35">
      <c r="B107" s="38"/>
      <c r="C107" s="39"/>
      <c r="D107" s="39"/>
      <c r="E107" s="39"/>
      <c r="F107" s="39"/>
      <c r="G107" s="39"/>
      <c r="H107" s="39"/>
      <c r="I107" s="40"/>
      <c r="J107" s="34"/>
    </row>
    <row r="108" spans="2:10" x14ac:dyDescent="0.35">
      <c r="B108" s="38"/>
      <c r="C108" s="39"/>
      <c r="D108" s="39"/>
      <c r="E108" s="39"/>
      <c r="F108" s="39"/>
      <c r="G108" s="39"/>
      <c r="H108" s="39"/>
      <c r="I108" s="40"/>
      <c r="J108" s="34"/>
    </row>
    <row r="109" spans="2:10" x14ac:dyDescent="0.35">
      <c r="B109" s="38"/>
      <c r="C109" s="39"/>
      <c r="D109" s="39"/>
      <c r="E109" s="39"/>
      <c r="F109" s="39"/>
      <c r="G109" s="39"/>
      <c r="H109" s="39"/>
      <c r="I109" s="40"/>
      <c r="J109" s="34"/>
    </row>
    <row r="110" spans="2:10" x14ac:dyDescent="0.35">
      <c r="B110" s="38"/>
      <c r="C110" s="39"/>
      <c r="D110" s="39"/>
      <c r="E110" s="39"/>
      <c r="F110" s="39"/>
      <c r="G110" s="39"/>
      <c r="H110" s="39"/>
      <c r="I110" s="40"/>
      <c r="J110" s="34"/>
    </row>
    <row r="111" spans="2:10" x14ac:dyDescent="0.35">
      <c r="B111" s="38"/>
      <c r="C111" s="39"/>
      <c r="D111" s="39"/>
      <c r="E111" s="39"/>
      <c r="F111" s="39"/>
      <c r="G111" s="39"/>
      <c r="H111" s="39"/>
      <c r="I111" s="40"/>
      <c r="J111" s="34"/>
    </row>
    <row r="112" spans="2:10" x14ac:dyDescent="0.35">
      <c r="B112" s="38"/>
      <c r="C112" s="39"/>
      <c r="D112" s="39"/>
      <c r="E112" s="39"/>
      <c r="F112" s="39"/>
      <c r="G112" s="39"/>
      <c r="H112" s="39"/>
      <c r="I112" s="40"/>
      <c r="J112" s="34"/>
    </row>
    <row r="113" spans="2:10" x14ac:dyDescent="0.35">
      <c r="B113" s="38"/>
      <c r="C113" s="39"/>
      <c r="D113" s="39"/>
      <c r="E113" s="39"/>
      <c r="F113" s="39"/>
      <c r="G113" s="39"/>
      <c r="H113" s="39"/>
      <c r="I113" s="40"/>
      <c r="J113" s="34"/>
    </row>
    <row r="114" spans="2:10" x14ac:dyDescent="0.35">
      <c r="B114" s="38"/>
      <c r="C114" s="39"/>
      <c r="D114" s="39"/>
      <c r="E114" s="39"/>
      <c r="F114" s="39"/>
      <c r="G114" s="39"/>
      <c r="H114" s="39"/>
      <c r="I114" s="40"/>
      <c r="J114" s="34"/>
    </row>
    <row r="115" spans="2:10" x14ac:dyDescent="0.35">
      <c r="B115" s="38"/>
      <c r="C115" s="39"/>
      <c r="D115" s="39"/>
      <c r="E115" s="39"/>
      <c r="F115" s="39"/>
      <c r="G115" s="39"/>
      <c r="H115" s="39"/>
      <c r="I115" s="40"/>
      <c r="J115" s="34"/>
    </row>
    <row r="116" spans="2:10" x14ac:dyDescent="0.35">
      <c r="B116" s="38"/>
      <c r="C116" s="39"/>
      <c r="D116" s="39"/>
      <c r="E116" s="39"/>
      <c r="F116" s="39"/>
      <c r="G116" s="39"/>
      <c r="H116" s="39"/>
      <c r="I116" s="40"/>
      <c r="J116" s="34"/>
    </row>
    <row r="117" spans="2:10" x14ac:dyDescent="0.35">
      <c r="B117" s="38"/>
      <c r="C117" s="39"/>
      <c r="D117" s="39"/>
      <c r="E117" s="39"/>
      <c r="F117" s="39"/>
      <c r="G117" s="39"/>
      <c r="H117" s="39"/>
      <c r="I117" s="40"/>
      <c r="J117" s="34"/>
    </row>
    <row r="118" spans="2:10" x14ac:dyDescent="0.35">
      <c r="B118" s="38"/>
      <c r="C118" s="39"/>
      <c r="D118" s="39"/>
      <c r="E118" s="39"/>
      <c r="F118" s="39"/>
      <c r="G118" s="39"/>
      <c r="H118" s="39"/>
      <c r="I118" s="40"/>
      <c r="J118" s="34"/>
    </row>
    <row r="119" spans="2:10" x14ac:dyDescent="0.35">
      <c r="B119" s="38"/>
      <c r="C119" s="39"/>
      <c r="D119" s="39"/>
      <c r="E119" s="39"/>
      <c r="F119" s="39"/>
      <c r="G119" s="39"/>
      <c r="H119" s="39"/>
      <c r="I119" s="40"/>
      <c r="J119" s="34"/>
    </row>
    <row r="120" spans="2:10" x14ac:dyDescent="0.35">
      <c r="B120" s="38"/>
      <c r="C120" s="39"/>
      <c r="D120" s="39"/>
      <c r="E120" s="39"/>
      <c r="F120" s="39"/>
      <c r="G120" s="39"/>
      <c r="H120" s="39"/>
      <c r="I120" s="40"/>
      <c r="J120" s="34"/>
    </row>
    <row r="121" spans="2:10" x14ac:dyDescent="0.35">
      <c r="B121" s="38"/>
      <c r="C121" s="39"/>
      <c r="D121" s="39"/>
      <c r="E121" s="39"/>
      <c r="F121" s="39"/>
      <c r="G121" s="39"/>
      <c r="H121" s="39"/>
      <c r="I121" s="40"/>
    </row>
    <row r="122" spans="2:10" x14ac:dyDescent="0.35">
      <c r="B122" s="38"/>
      <c r="C122" s="39"/>
      <c r="D122" s="39"/>
      <c r="E122" s="39"/>
      <c r="F122" s="39"/>
      <c r="G122" s="39"/>
      <c r="H122" s="39"/>
      <c r="I122" s="40"/>
    </row>
    <row r="123" spans="2:10" x14ac:dyDescent="0.35">
      <c r="B123" s="38"/>
      <c r="C123" s="39"/>
      <c r="D123" s="39"/>
      <c r="E123" s="39"/>
      <c r="F123" s="39"/>
      <c r="G123" s="39"/>
      <c r="H123" s="39"/>
      <c r="I123" s="40"/>
    </row>
    <row r="124" spans="2:10" x14ac:dyDescent="0.35">
      <c r="B124" s="38"/>
      <c r="C124" s="39"/>
      <c r="D124" s="39"/>
      <c r="E124" s="39"/>
      <c r="F124" s="39"/>
      <c r="G124" s="39"/>
      <c r="H124" s="39"/>
      <c r="I124" s="40"/>
    </row>
    <row r="125" spans="2:10" x14ac:dyDescent="0.35">
      <c r="B125" s="38"/>
      <c r="C125" s="39"/>
      <c r="D125" s="39"/>
      <c r="E125" s="39"/>
      <c r="F125" s="39"/>
      <c r="G125" s="39"/>
      <c r="H125" s="39"/>
      <c r="I125" s="40"/>
    </row>
    <row r="126" spans="2:10" x14ac:dyDescent="0.35">
      <c r="B126" s="38"/>
      <c r="C126" s="39"/>
      <c r="D126" s="39"/>
      <c r="E126" s="39"/>
      <c r="F126" s="39"/>
      <c r="G126" s="39"/>
      <c r="H126" s="39"/>
      <c r="I126" s="40"/>
    </row>
    <row r="127" spans="2:10" x14ac:dyDescent="0.35">
      <c r="B127" s="38"/>
      <c r="C127" s="39"/>
      <c r="D127" s="39"/>
      <c r="E127" s="39"/>
      <c r="F127" s="39"/>
      <c r="G127" s="39"/>
      <c r="H127" s="39"/>
      <c r="I127" s="40"/>
    </row>
    <row r="128" spans="2:10" x14ac:dyDescent="0.35">
      <c r="B128" s="38"/>
      <c r="C128" s="39"/>
      <c r="D128" s="39"/>
      <c r="E128" s="39"/>
      <c r="F128" s="39"/>
      <c r="G128" s="39"/>
      <c r="H128" s="39"/>
      <c r="I128" s="40"/>
    </row>
    <row r="129" spans="2:9" x14ac:dyDescent="0.35">
      <c r="B129" s="38"/>
      <c r="C129" s="39"/>
      <c r="D129" s="39"/>
      <c r="E129" s="39"/>
      <c r="F129" s="39"/>
      <c r="G129" s="39"/>
      <c r="H129" s="39"/>
      <c r="I129" s="40"/>
    </row>
    <row r="130" spans="2:9" x14ac:dyDescent="0.35">
      <c r="B130" s="38"/>
      <c r="C130" s="39"/>
      <c r="D130" s="39"/>
      <c r="E130" s="39"/>
      <c r="F130" s="39"/>
      <c r="G130" s="39"/>
      <c r="H130" s="39"/>
      <c r="I130" s="40"/>
    </row>
    <row r="131" spans="2:9" x14ac:dyDescent="0.35">
      <c r="B131" s="38"/>
      <c r="C131" s="39"/>
      <c r="D131" s="39"/>
      <c r="E131" s="39"/>
      <c r="F131" s="39"/>
      <c r="G131" s="39"/>
      <c r="H131" s="39"/>
      <c r="I131" s="40"/>
    </row>
    <row r="132" spans="2:9" x14ac:dyDescent="0.35">
      <c r="B132" s="38"/>
      <c r="C132" s="39"/>
      <c r="D132" s="39"/>
      <c r="E132" s="39"/>
      <c r="F132" s="39"/>
      <c r="G132" s="39"/>
      <c r="H132" s="39"/>
      <c r="I132" s="40"/>
    </row>
    <row r="133" spans="2:9" x14ac:dyDescent="0.35">
      <c r="B133" s="38"/>
      <c r="C133" s="39"/>
      <c r="D133" s="39"/>
      <c r="E133" s="39"/>
      <c r="F133" s="39"/>
      <c r="G133" s="39"/>
      <c r="H133" s="39"/>
      <c r="I133" s="40"/>
    </row>
    <row r="134" spans="2:9" x14ac:dyDescent="0.35">
      <c r="B134" s="38"/>
      <c r="C134" s="39"/>
      <c r="D134" s="39"/>
      <c r="E134" s="39"/>
      <c r="F134" s="39"/>
      <c r="G134" s="39"/>
      <c r="H134" s="39"/>
      <c r="I134" s="40"/>
    </row>
    <row r="135" spans="2:9" x14ac:dyDescent="0.35">
      <c r="B135" s="38"/>
      <c r="C135" s="39"/>
      <c r="D135" s="39"/>
      <c r="E135" s="39"/>
      <c r="F135" s="39"/>
      <c r="G135" s="39"/>
      <c r="H135" s="39"/>
      <c r="I135" s="40"/>
    </row>
    <row r="136" spans="2:9" x14ac:dyDescent="0.35">
      <c r="B136" s="38"/>
      <c r="C136" s="39"/>
      <c r="D136" s="39"/>
      <c r="E136" s="39"/>
      <c r="F136" s="39"/>
      <c r="G136" s="39"/>
      <c r="H136" s="39"/>
      <c r="I136" s="40"/>
    </row>
    <row r="137" spans="2:9" x14ac:dyDescent="0.35">
      <c r="B137" s="38"/>
      <c r="C137" s="39"/>
      <c r="D137" s="39"/>
      <c r="E137" s="39"/>
      <c r="F137" s="39"/>
      <c r="G137" s="39"/>
      <c r="H137" s="39"/>
      <c r="I137" s="40"/>
    </row>
    <row r="138" spans="2:9" x14ac:dyDescent="0.35">
      <c r="B138" s="38"/>
      <c r="C138" s="39"/>
      <c r="D138" s="39"/>
      <c r="E138" s="39"/>
      <c r="F138" s="39"/>
      <c r="G138" s="39"/>
      <c r="H138" s="39"/>
      <c r="I138" s="40"/>
    </row>
    <row r="139" spans="2:9" x14ac:dyDescent="0.35">
      <c r="B139" s="38"/>
      <c r="C139" s="39"/>
      <c r="D139" s="39"/>
      <c r="E139" s="39"/>
      <c r="F139" s="39"/>
      <c r="G139" s="39"/>
      <c r="H139" s="39"/>
      <c r="I139" s="40"/>
    </row>
    <row r="140" spans="2:9" x14ac:dyDescent="0.35">
      <c r="B140" s="38"/>
      <c r="C140" s="39"/>
      <c r="D140" s="39"/>
      <c r="E140" s="39"/>
      <c r="F140" s="39"/>
      <c r="G140" s="39"/>
      <c r="H140" s="39"/>
      <c r="I140" s="40"/>
    </row>
    <row r="141" spans="2:9" x14ac:dyDescent="0.35">
      <c r="B141" s="38"/>
      <c r="C141" s="39"/>
      <c r="D141" s="39"/>
      <c r="E141" s="39"/>
      <c r="F141" s="39"/>
      <c r="G141" s="39"/>
      <c r="H141" s="39"/>
      <c r="I141" s="40"/>
    </row>
    <row r="142" spans="2:9" x14ac:dyDescent="0.35">
      <c r="B142" s="38"/>
      <c r="C142" s="39"/>
      <c r="D142" s="39"/>
      <c r="E142" s="39"/>
      <c r="F142" s="39"/>
      <c r="G142" s="39"/>
      <c r="H142" s="39"/>
      <c r="I142" s="40"/>
    </row>
    <row r="143" spans="2:9" x14ac:dyDescent="0.35">
      <c r="B143" s="38"/>
      <c r="C143" s="39"/>
      <c r="D143" s="39"/>
      <c r="E143" s="39"/>
      <c r="F143" s="39"/>
      <c r="G143" s="39"/>
      <c r="H143" s="39"/>
      <c r="I143" s="40"/>
    </row>
    <row r="144" spans="2:9" x14ac:dyDescent="0.35">
      <c r="B144" s="38"/>
      <c r="C144" s="39"/>
      <c r="D144" s="39"/>
      <c r="E144" s="39"/>
      <c r="F144" s="39"/>
      <c r="G144" s="39"/>
      <c r="H144" s="39"/>
      <c r="I144" s="40"/>
    </row>
    <row r="145" spans="2:9" x14ac:dyDescent="0.35">
      <c r="B145" s="38"/>
      <c r="C145" s="39"/>
      <c r="D145" s="39"/>
      <c r="E145" s="39"/>
      <c r="F145" s="39"/>
      <c r="G145" s="39"/>
      <c r="H145" s="39"/>
      <c r="I145" s="40"/>
    </row>
    <row r="146" spans="2:9" x14ac:dyDescent="0.35">
      <c r="B146" s="38"/>
      <c r="C146" s="39"/>
      <c r="D146" s="39"/>
      <c r="E146" s="39"/>
      <c r="F146" s="39"/>
      <c r="G146" s="39"/>
      <c r="H146" s="39"/>
      <c r="I146" s="40"/>
    </row>
    <row r="147" spans="2:9" x14ac:dyDescent="0.35">
      <c r="B147" s="38"/>
      <c r="C147" s="39"/>
      <c r="D147" s="39"/>
      <c r="E147" s="39"/>
      <c r="F147" s="39"/>
      <c r="G147" s="39"/>
      <c r="H147" s="39"/>
      <c r="I147" s="40"/>
    </row>
    <row r="148" spans="2:9" x14ac:dyDescent="0.35">
      <c r="B148" s="38"/>
      <c r="C148" s="39"/>
      <c r="D148" s="39"/>
      <c r="E148" s="39"/>
      <c r="F148" s="39"/>
      <c r="G148" s="39"/>
      <c r="H148" s="39"/>
      <c r="I148" s="40"/>
    </row>
    <row r="149" spans="2:9" x14ac:dyDescent="0.35">
      <c r="B149" s="38"/>
      <c r="C149" s="39"/>
      <c r="D149" s="39"/>
      <c r="E149" s="39"/>
      <c r="F149" s="39"/>
      <c r="G149" s="39"/>
      <c r="H149" s="39"/>
      <c r="I149" s="40"/>
    </row>
    <row r="150" spans="2:9" x14ac:dyDescent="0.35">
      <c r="B150" s="41"/>
      <c r="C150" s="42"/>
      <c r="D150" s="42"/>
      <c r="E150" s="42"/>
      <c r="F150" s="42"/>
      <c r="G150" s="42"/>
      <c r="H150" s="42"/>
      <c r="I150" s="43"/>
    </row>
  </sheetData>
  <mergeCells count="10">
    <mergeCell ref="B83:I150"/>
    <mergeCell ref="B3:I37"/>
    <mergeCell ref="B40:I80"/>
    <mergeCell ref="K43:O43"/>
    <mergeCell ref="K42:N42"/>
    <mergeCell ref="K41:N41"/>
    <mergeCell ref="K44:L44"/>
    <mergeCell ref="K45:N45"/>
    <mergeCell ref="K46:M46"/>
    <mergeCell ref="K47:Q47"/>
  </mergeCells>
  <phoneticPr fontId="3" type="noConversion"/>
  <conditionalFormatting sqref="K4">
    <cfRule type="duplicateValues" dxfId="6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7234-7A49-404D-A05C-A6BC71D1D122}">
  <dimension ref="A2:L164"/>
  <sheetViews>
    <sheetView zoomScale="90" zoomScaleNormal="90" workbookViewId="0">
      <selection activeCell="O162" sqref="O162"/>
    </sheetView>
  </sheetViews>
  <sheetFormatPr defaultColWidth="8.7265625" defaultRowHeight="14.5" x14ac:dyDescent="0.35"/>
  <cols>
    <col min="1" max="1" width="20.1796875" style="1" bestFit="1" customWidth="1"/>
    <col min="2" max="2" width="19.54296875" style="1" bestFit="1" customWidth="1"/>
    <col min="3" max="3" width="18.81640625" style="1" customWidth="1"/>
    <col min="4" max="4" width="15.54296875" style="1" bestFit="1" customWidth="1"/>
    <col min="5" max="5" width="12.7265625" style="11" bestFit="1" customWidth="1"/>
    <col min="6" max="6" width="17.26953125" style="11" bestFit="1" customWidth="1"/>
    <col min="7" max="7" width="13.54296875" style="11" customWidth="1"/>
    <col min="8" max="8" width="22.81640625" style="6" customWidth="1"/>
    <col min="9" max="9" width="17.7265625" style="11" customWidth="1"/>
    <col min="10" max="10" width="14.26953125" style="1" customWidth="1"/>
    <col min="11" max="11" width="22.1796875" style="1" bestFit="1" customWidth="1"/>
    <col min="12" max="12" width="12.90625" style="1" bestFit="1" customWidth="1"/>
    <col min="13" max="16384" width="8.7265625" style="1"/>
  </cols>
  <sheetData>
    <row r="2" spans="1:11" s="6" customFormat="1" ht="55.5" x14ac:dyDescent="0.35">
      <c r="A2" s="9" t="s">
        <v>0</v>
      </c>
      <c r="B2" s="9" t="s">
        <v>402</v>
      </c>
      <c r="C2" s="10" t="s">
        <v>403</v>
      </c>
      <c r="D2" s="9" t="s">
        <v>310</v>
      </c>
      <c r="E2" s="9" t="s">
        <v>4</v>
      </c>
      <c r="F2" s="10" t="s">
        <v>304</v>
      </c>
      <c r="G2" s="24" t="s">
        <v>305</v>
      </c>
      <c r="H2" s="9" t="s">
        <v>404</v>
      </c>
      <c r="I2" s="24" t="s">
        <v>6</v>
      </c>
      <c r="J2" s="10" t="s">
        <v>309</v>
      </c>
      <c r="K2" s="16" t="s">
        <v>8</v>
      </c>
    </row>
    <row r="3" spans="1:11" x14ac:dyDescent="0.35">
      <c r="A3" s="2" t="s">
        <v>9</v>
      </c>
      <c r="B3" s="2" t="s">
        <v>178</v>
      </c>
      <c r="C3" s="2" t="s">
        <v>335</v>
      </c>
      <c r="D3" s="2" t="s">
        <v>340</v>
      </c>
      <c r="E3" s="22" t="s">
        <v>177</v>
      </c>
      <c r="F3" s="22" t="str">
        <f>SUBSTITUTE(E3,"N/A","0")</f>
        <v>0</v>
      </c>
      <c r="G3" s="22">
        <v>65605</v>
      </c>
      <c r="H3" s="20" t="s">
        <v>178</v>
      </c>
      <c r="I3" s="17">
        <v>2</v>
      </c>
      <c r="J3" s="2" t="s">
        <v>178</v>
      </c>
      <c r="K3" s="2" t="s">
        <v>182</v>
      </c>
    </row>
    <row r="4" spans="1:11" x14ac:dyDescent="0.35">
      <c r="A4" s="2" t="s">
        <v>10</v>
      </c>
      <c r="B4" s="2" t="s">
        <v>159</v>
      </c>
      <c r="C4" s="2" t="s">
        <v>167</v>
      </c>
      <c r="D4" s="2" t="s">
        <v>341</v>
      </c>
      <c r="E4" s="22">
        <v>54255</v>
      </c>
      <c r="F4" s="22" t="str">
        <f t="shared" ref="F4:F67" si="0">SUBSTITUTE(E4,"N/A","0")</f>
        <v>54255</v>
      </c>
      <c r="G4" s="22">
        <v>54255</v>
      </c>
      <c r="H4" s="20">
        <v>42015</v>
      </c>
      <c r="I4" s="17">
        <v>1</v>
      </c>
      <c r="J4" s="2" t="s">
        <v>179</v>
      </c>
      <c r="K4" s="2" t="s">
        <v>183</v>
      </c>
    </row>
    <row r="5" spans="1:11" x14ac:dyDescent="0.35">
      <c r="A5" s="2" t="s">
        <v>11</v>
      </c>
      <c r="B5" s="2" t="s">
        <v>160</v>
      </c>
      <c r="C5" s="2" t="s">
        <v>335</v>
      </c>
      <c r="D5" s="2" t="s">
        <v>341</v>
      </c>
      <c r="E5" s="22">
        <v>63184</v>
      </c>
      <c r="F5" s="22" t="str">
        <f t="shared" si="0"/>
        <v>63184</v>
      </c>
      <c r="G5" s="22">
        <v>63184</v>
      </c>
      <c r="H5" s="20">
        <v>42022</v>
      </c>
      <c r="I5" s="17">
        <v>2</v>
      </c>
      <c r="J5" s="2" t="s">
        <v>178</v>
      </c>
      <c r="K5" s="2" t="s">
        <v>184</v>
      </c>
    </row>
    <row r="6" spans="1:11" x14ac:dyDescent="0.35">
      <c r="A6" s="2" t="s">
        <v>12</v>
      </c>
      <c r="B6" s="2" t="s">
        <v>161</v>
      </c>
      <c r="C6" s="2" t="s">
        <v>336</v>
      </c>
      <c r="D6" s="2" t="s">
        <v>342</v>
      </c>
      <c r="E6" s="22">
        <v>94406</v>
      </c>
      <c r="F6" s="22" t="str">
        <f t="shared" si="0"/>
        <v>94406</v>
      </c>
      <c r="G6" s="22">
        <v>94406</v>
      </c>
      <c r="H6" s="20">
        <v>42029</v>
      </c>
      <c r="I6" s="17">
        <v>1</v>
      </c>
      <c r="J6" s="2" t="s">
        <v>180</v>
      </c>
      <c r="K6" s="2" t="s">
        <v>185</v>
      </c>
    </row>
    <row r="7" spans="1:11" x14ac:dyDescent="0.35">
      <c r="A7" s="2" t="s">
        <v>13</v>
      </c>
      <c r="B7" s="2" t="s">
        <v>162</v>
      </c>
      <c r="C7" s="2" t="s">
        <v>336</v>
      </c>
      <c r="D7" s="2" t="s">
        <v>341</v>
      </c>
      <c r="E7" s="22">
        <v>64120</v>
      </c>
      <c r="F7" s="22" t="str">
        <f t="shared" si="0"/>
        <v>64120</v>
      </c>
      <c r="G7" s="22">
        <v>64120</v>
      </c>
      <c r="H7" s="20">
        <v>42036</v>
      </c>
      <c r="I7" s="17">
        <v>1</v>
      </c>
      <c r="J7" s="2" t="s">
        <v>180</v>
      </c>
      <c r="K7" s="2" t="s">
        <v>186</v>
      </c>
    </row>
    <row r="8" spans="1:11" x14ac:dyDescent="0.35">
      <c r="A8" s="2" t="s">
        <v>14</v>
      </c>
      <c r="B8" s="2" t="s">
        <v>160</v>
      </c>
      <c r="C8" s="2" t="s">
        <v>169</v>
      </c>
      <c r="D8" s="2" t="s">
        <v>343</v>
      </c>
      <c r="E8" s="22">
        <v>78421</v>
      </c>
      <c r="F8" s="22" t="str">
        <f t="shared" si="0"/>
        <v>78421</v>
      </c>
      <c r="G8" s="22">
        <v>78421</v>
      </c>
      <c r="H8" s="20">
        <v>42043</v>
      </c>
      <c r="I8" s="17">
        <v>2</v>
      </c>
      <c r="J8" s="2" t="s">
        <v>181</v>
      </c>
      <c r="K8" s="2" t="s">
        <v>187</v>
      </c>
    </row>
    <row r="9" spans="1:11" x14ac:dyDescent="0.35">
      <c r="A9" s="2" t="s">
        <v>15</v>
      </c>
      <c r="B9" s="2" t="s">
        <v>163</v>
      </c>
      <c r="C9" s="2" t="s">
        <v>336</v>
      </c>
      <c r="D9" s="2" t="s">
        <v>340</v>
      </c>
      <c r="E9" s="22">
        <v>67721</v>
      </c>
      <c r="F9" s="22" t="str">
        <f t="shared" si="0"/>
        <v>67721</v>
      </c>
      <c r="G9" s="22">
        <v>67721</v>
      </c>
      <c r="H9" s="20">
        <v>42050</v>
      </c>
      <c r="I9" s="17">
        <v>3</v>
      </c>
      <c r="J9" s="2" t="s">
        <v>180</v>
      </c>
      <c r="K9" s="2" t="s">
        <v>185</v>
      </c>
    </row>
    <row r="10" spans="1:11" x14ac:dyDescent="0.35">
      <c r="A10" s="2" t="s">
        <v>16</v>
      </c>
      <c r="B10" s="2" t="s">
        <v>164</v>
      </c>
      <c r="C10" s="2" t="s">
        <v>337</v>
      </c>
      <c r="D10" s="2" t="s">
        <v>340</v>
      </c>
      <c r="E10" s="22">
        <v>35364</v>
      </c>
      <c r="F10" s="22" t="str">
        <f t="shared" si="0"/>
        <v>35364</v>
      </c>
      <c r="G10" s="22">
        <v>35364</v>
      </c>
      <c r="H10" s="20">
        <v>42057</v>
      </c>
      <c r="I10" s="17">
        <v>2</v>
      </c>
      <c r="J10" s="2" t="s">
        <v>179</v>
      </c>
      <c r="K10" s="2" t="s">
        <v>188</v>
      </c>
    </row>
    <row r="11" spans="1:11" x14ac:dyDescent="0.35">
      <c r="A11" s="2" t="s">
        <v>17</v>
      </c>
      <c r="B11" s="2" t="s">
        <v>160</v>
      </c>
      <c r="C11" s="2" t="s">
        <v>169</v>
      </c>
      <c r="D11" s="2" t="s">
        <v>341</v>
      </c>
      <c r="E11" s="22">
        <v>97881</v>
      </c>
      <c r="F11" s="22" t="str">
        <f t="shared" si="0"/>
        <v>97881</v>
      </c>
      <c r="G11" s="22">
        <v>97881</v>
      </c>
      <c r="H11" s="20">
        <v>42064</v>
      </c>
      <c r="I11" s="17">
        <v>3</v>
      </c>
      <c r="J11" s="2" t="s">
        <v>181</v>
      </c>
      <c r="K11" s="2" t="s">
        <v>189</v>
      </c>
    </row>
    <row r="12" spans="1:11" x14ac:dyDescent="0.35">
      <c r="A12" s="2" t="s">
        <v>18</v>
      </c>
      <c r="B12" s="2" t="s">
        <v>164</v>
      </c>
      <c r="C12" s="2" t="s">
        <v>167</v>
      </c>
      <c r="D12" s="2" t="s">
        <v>344</v>
      </c>
      <c r="E12" s="22">
        <v>91846</v>
      </c>
      <c r="F12" s="22" t="str">
        <f t="shared" si="0"/>
        <v>91846</v>
      </c>
      <c r="G12" s="22">
        <v>91846</v>
      </c>
      <c r="H12" s="20">
        <v>42071</v>
      </c>
      <c r="I12" s="17">
        <v>3</v>
      </c>
      <c r="J12" s="2" t="s">
        <v>180</v>
      </c>
      <c r="K12" s="2" t="s">
        <v>190</v>
      </c>
    </row>
    <row r="13" spans="1:11" x14ac:dyDescent="0.35">
      <c r="A13" s="2" t="s">
        <v>19</v>
      </c>
      <c r="B13" s="2" t="s">
        <v>163</v>
      </c>
      <c r="C13" s="2" t="s">
        <v>335</v>
      </c>
      <c r="D13" s="2" t="s">
        <v>344</v>
      </c>
      <c r="E13" s="22">
        <v>64247</v>
      </c>
      <c r="F13" s="22" t="str">
        <f t="shared" si="0"/>
        <v>64247</v>
      </c>
      <c r="G13" s="22">
        <v>64247</v>
      </c>
      <c r="H13" s="20">
        <v>42078</v>
      </c>
      <c r="I13" s="17">
        <v>1</v>
      </c>
      <c r="J13" s="2" t="s">
        <v>181</v>
      </c>
      <c r="K13" s="2" t="s">
        <v>191</v>
      </c>
    </row>
    <row r="14" spans="1:11" x14ac:dyDescent="0.35">
      <c r="A14" s="2" t="s">
        <v>20</v>
      </c>
      <c r="B14" s="2" t="s">
        <v>163</v>
      </c>
      <c r="C14" s="2" t="s">
        <v>169</v>
      </c>
      <c r="D14" s="2" t="s">
        <v>342</v>
      </c>
      <c r="E14" s="22">
        <v>91180</v>
      </c>
      <c r="F14" s="22" t="str">
        <f t="shared" si="0"/>
        <v>91180</v>
      </c>
      <c r="G14" s="22">
        <v>91180</v>
      </c>
      <c r="H14" s="20">
        <v>42085</v>
      </c>
      <c r="I14" s="17">
        <v>5</v>
      </c>
      <c r="J14" s="2" t="s">
        <v>180</v>
      </c>
      <c r="K14" s="2" t="s">
        <v>192</v>
      </c>
    </row>
    <row r="15" spans="1:11" x14ac:dyDescent="0.35">
      <c r="A15" s="2" t="s">
        <v>21</v>
      </c>
      <c r="B15" s="2" t="s">
        <v>165</v>
      </c>
      <c r="C15" s="2" t="s">
        <v>336</v>
      </c>
      <c r="D15" s="2" t="s">
        <v>340</v>
      </c>
      <c r="E15" s="22">
        <v>96418</v>
      </c>
      <c r="F15" s="22" t="str">
        <f t="shared" si="0"/>
        <v>96418</v>
      </c>
      <c r="G15" s="22">
        <v>96418</v>
      </c>
      <c r="H15" s="20">
        <v>42092</v>
      </c>
      <c r="I15" s="17">
        <v>5</v>
      </c>
      <c r="J15" s="2" t="s">
        <v>180</v>
      </c>
      <c r="K15" s="2" t="s">
        <v>183</v>
      </c>
    </row>
    <row r="16" spans="1:11" x14ac:dyDescent="0.35">
      <c r="A16" s="2" t="s">
        <v>22</v>
      </c>
      <c r="B16" s="2" t="s">
        <v>163</v>
      </c>
      <c r="C16" s="2" t="s">
        <v>338</v>
      </c>
      <c r="D16" s="2" t="s">
        <v>343</v>
      </c>
      <c r="E16" s="22">
        <v>62158</v>
      </c>
      <c r="F16" s="22" t="str">
        <f t="shared" si="0"/>
        <v>62158</v>
      </c>
      <c r="G16" s="22">
        <v>62158</v>
      </c>
      <c r="H16" s="20">
        <v>42099</v>
      </c>
      <c r="I16" s="17">
        <v>4</v>
      </c>
      <c r="J16" s="2" t="s">
        <v>178</v>
      </c>
      <c r="K16" s="2" t="s">
        <v>193</v>
      </c>
    </row>
    <row r="17" spans="1:11" x14ac:dyDescent="0.35">
      <c r="A17" s="2" t="s">
        <v>23</v>
      </c>
      <c r="B17" s="2" t="s">
        <v>162</v>
      </c>
      <c r="C17" s="2" t="s">
        <v>167</v>
      </c>
      <c r="D17" s="2" t="s">
        <v>340</v>
      </c>
      <c r="E17" s="22">
        <v>59894</v>
      </c>
      <c r="F17" s="22" t="str">
        <f t="shared" si="0"/>
        <v>59894</v>
      </c>
      <c r="G17" s="22">
        <v>59894</v>
      </c>
      <c r="H17" s="20">
        <v>42106</v>
      </c>
      <c r="I17" s="17">
        <v>2</v>
      </c>
      <c r="J17" s="2" t="s">
        <v>180</v>
      </c>
      <c r="K17" s="2" t="s">
        <v>194</v>
      </c>
    </row>
    <row r="18" spans="1:11" x14ac:dyDescent="0.35">
      <c r="A18" s="2" t="s">
        <v>24</v>
      </c>
      <c r="B18" s="2" t="s">
        <v>178</v>
      </c>
      <c r="C18" s="2" t="s">
        <v>169</v>
      </c>
      <c r="D18" s="2" t="s">
        <v>343</v>
      </c>
      <c r="E18" s="22">
        <v>92443</v>
      </c>
      <c r="F18" s="22" t="str">
        <f t="shared" si="0"/>
        <v>92443</v>
      </c>
      <c r="G18" s="22">
        <v>92443</v>
      </c>
      <c r="H18" s="20">
        <v>42113</v>
      </c>
      <c r="I18" s="17">
        <v>3</v>
      </c>
      <c r="J18" s="2" t="s">
        <v>179</v>
      </c>
      <c r="K18" s="2" t="s">
        <v>195</v>
      </c>
    </row>
    <row r="19" spans="1:11" x14ac:dyDescent="0.35">
      <c r="A19" s="2" t="s">
        <v>25</v>
      </c>
      <c r="B19" s="2" t="s">
        <v>165</v>
      </c>
      <c r="C19" s="2" t="s">
        <v>338</v>
      </c>
      <c r="D19" s="2" t="s">
        <v>341</v>
      </c>
      <c r="E19" s="22">
        <v>90271</v>
      </c>
      <c r="F19" s="22" t="str">
        <f t="shared" si="0"/>
        <v>90271</v>
      </c>
      <c r="G19" s="22">
        <v>90271</v>
      </c>
      <c r="H19" s="20">
        <v>42120</v>
      </c>
      <c r="I19" s="17">
        <v>3</v>
      </c>
      <c r="J19" s="2" t="s">
        <v>178</v>
      </c>
      <c r="K19" s="2" t="s">
        <v>196</v>
      </c>
    </row>
    <row r="20" spans="1:11" x14ac:dyDescent="0.35">
      <c r="A20" s="2" t="s">
        <v>26</v>
      </c>
      <c r="B20" s="2" t="s">
        <v>162</v>
      </c>
      <c r="C20" s="2" t="s">
        <v>335</v>
      </c>
      <c r="D20" s="2" t="s">
        <v>345</v>
      </c>
      <c r="E20" s="22">
        <v>41341</v>
      </c>
      <c r="F20" s="22" t="str">
        <f t="shared" si="0"/>
        <v>41341</v>
      </c>
      <c r="G20" s="22">
        <v>41341</v>
      </c>
      <c r="H20" s="20">
        <v>42127</v>
      </c>
      <c r="I20" s="17">
        <v>1</v>
      </c>
      <c r="J20" s="2" t="s">
        <v>179</v>
      </c>
      <c r="K20" s="2" t="s">
        <v>197</v>
      </c>
    </row>
    <row r="21" spans="1:11" x14ac:dyDescent="0.35">
      <c r="A21" s="2" t="s">
        <v>27</v>
      </c>
      <c r="B21" s="2" t="s">
        <v>160</v>
      </c>
      <c r="C21" s="2" t="s">
        <v>335</v>
      </c>
      <c r="D21" s="2" t="s">
        <v>344</v>
      </c>
      <c r="E21" s="22">
        <v>73602</v>
      </c>
      <c r="F21" s="22" t="str">
        <f t="shared" si="0"/>
        <v>73602</v>
      </c>
      <c r="G21" s="22">
        <v>73602</v>
      </c>
      <c r="H21" s="20">
        <v>42134</v>
      </c>
      <c r="I21" s="17">
        <v>3</v>
      </c>
      <c r="J21" s="2" t="s">
        <v>178</v>
      </c>
      <c r="K21" s="2" t="s">
        <v>198</v>
      </c>
    </row>
    <row r="22" spans="1:11" x14ac:dyDescent="0.35">
      <c r="A22" s="2" t="s">
        <v>28</v>
      </c>
      <c r="B22" s="2" t="s">
        <v>159</v>
      </c>
      <c r="C22" s="2" t="s">
        <v>338</v>
      </c>
      <c r="D22" s="2" t="s">
        <v>343</v>
      </c>
      <c r="E22" s="22">
        <v>67531</v>
      </c>
      <c r="F22" s="22" t="str">
        <f t="shared" si="0"/>
        <v>67531</v>
      </c>
      <c r="G22" s="22">
        <v>67531</v>
      </c>
      <c r="H22" s="20">
        <v>42141</v>
      </c>
      <c r="I22" s="17">
        <v>5</v>
      </c>
      <c r="J22" s="2" t="s">
        <v>181</v>
      </c>
      <c r="K22" s="2" t="s">
        <v>199</v>
      </c>
    </row>
    <row r="23" spans="1:11" x14ac:dyDescent="0.35">
      <c r="A23" s="2" t="s">
        <v>29</v>
      </c>
      <c r="B23" s="2" t="s">
        <v>162</v>
      </c>
      <c r="C23" s="2" t="s">
        <v>167</v>
      </c>
      <c r="D23" s="2" t="s">
        <v>342</v>
      </c>
      <c r="E23" s="22" t="s">
        <v>177</v>
      </c>
      <c r="F23" s="22" t="str">
        <f t="shared" si="0"/>
        <v>0</v>
      </c>
      <c r="G23" s="22">
        <v>67835</v>
      </c>
      <c r="H23" s="20">
        <v>42148</v>
      </c>
      <c r="I23" s="17">
        <v>2</v>
      </c>
      <c r="J23" s="2" t="s">
        <v>179</v>
      </c>
      <c r="K23" s="2" t="s">
        <v>200</v>
      </c>
    </row>
    <row r="24" spans="1:11" x14ac:dyDescent="0.35">
      <c r="A24" s="2" t="s">
        <v>30</v>
      </c>
      <c r="B24" s="2" t="s">
        <v>162</v>
      </c>
      <c r="C24" s="2" t="s">
        <v>167</v>
      </c>
      <c r="D24" s="2" t="s">
        <v>340</v>
      </c>
      <c r="E24" s="22">
        <v>98922</v>
      </c>
      <c r="F24" s="22" t="str">
        <f t="shared" si="0"/>
        <v>98922</v>
      </c>
      <c r="G24" s="22">
        <v>98922</v>
      </c>
      <c r="H24" s="20">
        <v>42155</v>
      </c>
      <c r="I24" s="17">
        <v>4</v>
      </c>
      <c r="J24" s="2" t="s">
        <v>178</v>
      </c>
      <c r="K24" s="2" t="s">
        <v>201</v>
      </c>
    </row>
    <row r="25" spans="1:11" x14ac:dyDescent="0.35">
      <c r="A25" s="2" t="s">
        <v>31</v>
      </c>
      <c r="B25" s="2" t="s">
        <v>159</v>
      </c>
      <c r="C25" s="2" t="s">
        <v>335</v>
      </c>
      <c r="D25" s="2" t="s">
        <v>343</v>
      </c>
      <c r="E25" s="22">
        <v>38333</v>
      </c>
      <c r="F25" s="22" t="str">
        <f t="shared" si="0"/>
        <v>38333</v>
      </c>
      <c r="G25" s="22">
        <v>38333</v>
      </c>
      <c r="H25" s="20">
        <v>42162</v>
      </c>
      <c r="I25" s="17">
        <v>5</v>
      </c>
      <c r="J25" s="2" t="s">
        <v>178</v>
      </c>
      <c r="K25" s="2" t="s">
        <v>202</v>
      </c>
    </row>
    <row r="26" spans="1:11" x14ac:dyDescent="0.35">
      <c r="A26" s="2" t="s">
        <v>32</v>
      </c>
      <c r="B26" s="2" t="s">
        <v>160</v>
      </c>
      <c r="C26" s="2" t="s">
        <v>337</v>
      </c>
      <c r="D26" s="2" t="s">
        <v>344</v>
      </c>
      <c r="E26" s="22">
        <v>36515</v>
      </c>
      <c r="F26" s="22" t="str">
        <f t="shared" si="0"/>
        <v>36515</v>
      </c>
      <c r="G26" s="22">
        <v>36515</v>
      </c>
      <c r="H26" s="20">
        <v>42169</v>
      </c>
      <c r="I26" s="17">
        <v>3</v>
      </c>
      <c r="J26" s="2" t="s">
        <v>180</v>
      </c>
      <c r="K26" s="2" t="s">
        <v>203</v>
      </c>
    </row>
    <row r="27" spans="1:11" x14ac:dyDescent="0.35">
      <c r="A27" s="2" t="s">
        <v>33</v>
      </c>
      <c r="B27" s="2" t="s">
        <v>163</v>
      </c>
      <c r="C27" s="2" t="s">
        <v>335</v>
      </c>
      <c r="D27" s="2" t="s">
        <v>340</v>
      </c>
      <c r="E27" s="22">
        <v>91005</v>
      </c>
      <c r="F27" s="22" t="str">
        <f t="shared" si="0"/>
        <v>91005</v>
      </c>
      <c r="G27" s="22">
        <v>91005</v>
      </c>
      <c r="H27" s="20">
        <v>42176</v>
      </c>
      <c r="I27" s="17">
        <v>1</v>
      </c>
      <c r="J27" s="2" t="s">
        <v>179</v>
      </c>
      <c r="K27" s="2" t="s">
        <v>204</v>
      </c>
    </row>
    <row r="28" spans="1:11" x14ac:dyDescent="0.35">
      <c r="A28" s="2" t="s">
        <v>34</v>
      </c>
      <c r="B28" s="2" t="s">
        <v>164</v>
      </c>
      <c r="C28" s="2" t="s">
        <v>338</v>
      </c>
      <c r="D28" s="2" t="s">
        <v>340</v>
      </c>
      <c r="E28" s="22">
        <v>52272</v>
      </c>
      <c r="F28" s="22" t="str">
        <f t="shared" si="0"/>
        <v>52272</v>
      </c>
      <c r="G28" s="22">
        <v>52272</v>
      </c>
      <c r="H28" s="20">
        <v>42183</v>
      </c>
      <c r="I28" s="17">
        <v>3</v>
      </c>
      <c r="J28" s="2" t="s">
        <v>178</v>
      </c>
      <c r="K28" s="2" t="s">
        <v>205</v>
      </c>
    </row>
    <row r="29" spans="1:11" x14ac:dyDescent="0.35">
      <c r="A29" s="2" t="s">
        <v>35</v>
      </c>
      <c r="B29" s="2" t="s">
        <v>159</v>
      </c>
      <c r="C29" s="2" t="s">
        <v>336</v>
      </c>
      <c r="D29" s="2" t="s">
        <v>341</v>
      </c>
      <c r="E29" s="22">
        <v>76518</v>
      </c>
      <c r="F29" s="22" t="str">
        <f t="shared" si="0"/>
        <v>76518</v>
      </c>
      <c r="G29" s="22">
        <v>76518</v>
      </c>
      <c r="H29" s="20">
        <v>42190</v>
      </c>
      <c r="I29" s="17">
        <v>2</v>
      </c>
      <c r="J29" s="2" t="s">
        <v>181</v>
      </c>
      <c r="K29" s="2" t="s">
        <v>206</v>
      </c>
    </row>
    <row r="30" spans="1:11" x14ac:dyDescent="0.35">
      <c r="A30" s="2" t="s">
        <v>36</v>
      </c>
      <c r="B30" s="2" t="s">
        <v>160</v>
      </c>
      <c r="C30" s="2" t="s">
        <v>169</v>
      </c>
      <c r="D30" s="2" t="s">
        <v>344</v>
      </c>
      <c r="E30" s="22">
        <v>41448</v>
      </c>
      <c r="F30" s="22" t="str">
        <f t="shared" si="0"/>
        <v>41448</v>
      </c>
      <c r="G30" s="22">
        <v>41448</v>
      </c>
      <c r="H30" s="20">
        <v>42197</v>
      </c>
      <c r="I30" s="17">
        <v>3</v>
      </c>
      <c r="J30" s="2" t="s">
        <v>179</v>
      </c>
      <c r="K30" s="2" t="s">
        <v>207</v>
      </c>
    </row>
    <row r="31" spans="1:11" x14ac:dyDescent="0.35">
      <c r="A31" s="2" t="s">
        <v>37</v>
      </c>
      <c r="B31" s="2" t="s">
        <v>161</v>
      </c>
      <c r="C31" s="2" t="s">
        <v>167</v>
      </c>
      <c r="D31" s="2" t="s">
        <v>344</v>
      </c>
      <c r="E31" s="22">
        <v>49282</v>
      </c>
      <c r="F31" s="22" t="str">
        <f t="shared" si="0"/>
        <v>49282</v>
      </c>
      <c r="G31" s="22">
        <v>49282</v>
      </c>
      <c r="H31" s="20">
        <v>42204</v>
      </c>
      <c r="I31" s="17">
        <v>2</v>
      </c>
      <c r="J31" s="2" t="s">
        <v>181</v>
      </c>
      <c r="K31" s="2" t="s">
        <v>208</v>
      </c>
    </row>
    <row r="32" spans="1:11" x14ac:dyDescent="0.35">
      <c r="A32" s="2" t="s">
        <v>38</v>
      </c>
      <c r="B32" s="2" t="s">
        <v>165</v>
      </c>
      <c r="C32" s="2" t="s">
        <v>337</v>
      </c>
      <c r="D32" s="2" t="s">
        <v>344</v>
      </c>
      <c r="E32" s="22">
        <v>92959</v>
      </c>
      <c r="F32" s="22" t="str">
        <f t="shared" si="0"/>
        <v>92959</v>
      </c>
      <c r="G32" s="22">
        <v>92959</v>
      </c>
      <c r="H32" s="20">
        <v>42211</v>
      </c>
      <c r="I32" s="17">
        <v>5</v>
      </c>
      <c r="J32" s="2" t="s">
        <v>178</v>
      </c>
      <c r="K32" s="2" t="s">
        <v>209</v>
      </c>
    </row>
    <row r="33" spans="1:11" x14ac:dyDescent="0.35">
      <c r="A33" s="2" t="s">
        <v>39</v>
      </c>
      <c r="B33" s="2" t="s">
        <v>178</v>
      </c>
      <c r="C33" s="2" t="s">
        <v>337</v>
      </c>
      <c r="D33" s="2" t="s">
        <v>340</v>
      </c>
      <c r="E33" s="22">
        <v>92259</v>
      </c>
      <c r="F33" s="22" t="str">
        <f t="shared" si="0"/>
        <v>92259</v>
      </c>
      <c r="G33" s="22">
        <v>92259</v>
      </c>
      <c r="H33" s="20" t="s">
        <v>178</v>
      </c>
      <c r="I33" s="17">
        <v>1</v>
      </c>
      <c r="J33" s="2" t="s">
        <v>178</v>
      </c>
      <c r="K33" s="2" t="s">
        <v>210</v>
      </c>
    </row>
    <row r="34" spans="1:11" x14ac:dyDescent="0.35">
      <c r="A34" s="2" t="s">
        <v>40</v>
      </c>
      <c r="B34" s="2" t="s">
        <v>159</v>
      </c>
      <c r="C34" s="2" t="s">
        <v>167</v>
      </c>
      <c r="D34" s="2" t="s">
        <v>341</v>
      </c>
      <c r="E34" s="22">
        <v>92299</v>
      </c>
      <c r="F34" s="22" t="str">
        <f t="shared" si="0"/>
        <v>92299</v>
      </c>
      <c r="G34" s="22">
        <v>92299</v>
      </c>
      <c r="H34" s="20">
        <v>42225</v>
      </c>
      <c r="I34" s="17">
        <v>3</v>
      </c>
      <c r="J34" s="2" t="s">
        <v>180</v>
      </c>
      <c r="K34" s="2" t="s">
        <v>211</v>
      </c>
    </row>
    <row r="35" spans="1:11" x14ac:dyDescent="0.35">
      <c r="A35" s="2" t="s">
        <v>41</v>
      </c>
      <c r="B35" s="2" t="s">
        <v>163</v>
      </c>
      <c r="C35" s="2" t="s">
        <v>167</v>
      </c>
      <c r="D35" s="2" t="s">
        <v>340</v>
      </c>
      <c r="E35" s="22">
        <v>95586</v>
      </c>
      <c r="F35" s="22" t="str">
        <f t="shared" si="0"/>
        <v>95586</v>
      </c>
      <c r="G35" s="22">
        <v>95586</v>
      </c>
      <c r="H35" s="20">
        <v>42232</v>
      </c>
      <c r="I35" s="17">
        <v>3</v>
      </c>
      <c r="J35" s="2" t="s">
        <v>179</v>
      </c>
      <c r="K35" s="2" t="s">
        <v>212</v>
      </c>
    </row>
    <row r="36" spans="1:11" x14ac:dyDescent="0.35">
      <c r="A36" s="2" t="s">
        <v>42</v>
      </c>
      <c r="B36" s="2" t="s">
        <v>164</v>
      </c>
      <c r="C36" s="2" t="s">
        <v>338</v>
      </c>
      <c r="D36" s="2" t="s">
        <v>342</v>
      </c>
      <c r="E36" s="22">
        <v>95367</v>
      </c>
      <c r="F36" s="22" t="str">
        <f t="shared" si="0"/>
        <v>95367</v>
      </c>
      <c r="G36" s="22">
        <v>95367</v>
      </c>
      <c r="H36" s="20">
        <v>42239</v>
      </c>
      <c r="I36" s="17">
        <v>3</v>
      </c>
      <c r="J36" s="2" t="s">
        <v>180</v>
      </c>
      <c r="K36" s="2" t="s">
        <v>213</v>
      </c>
    </row>
    <row r="37" spans="1:11" x14ac:dyDescent="0.35">
      <c r="A37" s="2" t="s">
        <v>43</v>
      </c>
      <c r="B37" s="2" t="s">
        <v>161</v>
      </c>
      <c r="C37" s="2" t="s">
        <v>336</v>
      </c>
      <c r="D37" s="2" t="s">
        <v>345</v>
      </c>
      <c r="E37" s="22">
        <v>79549</v>
      </c>
      <c r="F37" s="22" t="str">
        <f t="shared" si="0"/>
        <v>79549</v>
      </c>
      <c r="G37" s="22">
        <v>79549</v>
      </c>
      <c r="H37" s="20">
        <v>42246</v>
      </c>
      <c r="I37" s="17">
        <v>3</v>
      </c>
      <c r="J37" s="2" t="s">
        <v>178</v>
      </c>
      <c r="K37" s="2" t="s">
        <v>214</v>
      </c>
    </row>
    <row r="38" spans="1:11" x14ac:dyDescent="0.35">
      <c r="A38" s="2" t="s">
        <v>44</v>
      </c>
      <c r="B38" s="2" t="s">
        <v>160</v>
      </c>
      <c r="C38" s="2" t="s">
        <v>338</v>
      </c>
      <c r="D38" s="2" t="s">
        <v>344</v>
      </c>
      <c r="E38" s="22">
        <v>54463</v>
      </c>
      <c r="F38" s="22" t="str">
        <f t="shared" si="0"/>
        <v>54463</v>
      </c>
      <c r="G38" s="22">
        <v>54463</v>
      </c>
      <c r="H38" s="20">
        <v>42253</v>
      </c>
      <c r="I38" s="17">
        <v>4</v>
      </c>
      <c r="J38" s="2" t="s">
        <v>180</v>
      </c>
      <c r="K38" s="2" t="s">
        <v>182</v>
      </c>
    </row>
    <row r="39" spans="1:11" x14ac:dyDescent="0.35">
      <c r="A39" s="2" t="s">
        <v>45</v>
      </c>
      <c r="B39" s="2" t="s">
        <v>160</v>
      </c>
      <c r="C39" s="2" t="s">
        <v>169</v>
      </c>
      <c r="D39" s="2" t="s">
        <v>342</v>
      </c>
      <c r="E39" s="22">
        <v>89781</v>
      </c>
      <c r="F39" s="22" t="str">
        <f t="shared" si="0"/>
        <v>89781</v>
      </c>
      <c r="G39" s="22">
        <v>89781</v>
      </c>
      <c r="H39" s="20">
        <v>42260</v>
      </c>
      <c r="I39" s="17">
        <v>3</v>
      </c>
      <c r="J39" s="2" t="s">
        <v>181</v>
      </c>
      <c r="K39" s="2" t="s">
        <v>215</v>
      </c>
    </row>
    <row r="40" spans="1:11" x14ac:dyDescent="0.35">
      <c r="A40" s="2" t="s">
        <v>46</v>
      </c>
      <c r="B40" s="2" t="s">
        <v>160</v>
      </c>
      <c r="C40" s="2" t="s">
        <v>167</v>
      </c>
      <c r="D40" s="2" t="s">
        <v>340</v>
      </c>
      <c r="E40" s="22">
        <v>64796</v>
      </c>
      <c r="F40" s="22" t="str">
        <f t="shared" si="0"/>
        <v>64796</v>
      </c>
      <c r="G40" s="22">
        <v>64796</v>
      </c>
      <c r="H40" s="20">
        <v>42267</v>
      </c>
      <c r="I40" s="17">
        <v>3</v>
      </c>
      <c r="J40" s="2" t="s">
        <v>179</v>
      </c>
      <c r="K40" s="2" t="s">
        <v>216</v>
      </c>
    </row>
    <row r="41" spans="1:11" x14ac:dyDescent="0.35">
      <c r="A41" s="2" t="s">
        <v>47</v>
      </c>
      <c r="B41" s="2" t="s">
        <v>161</v>
      </c>
      <c r="C41" s="2" t="s">
        <v>337</v>
      </c>
      <c r="D41" s="2" t="s">
        <v>344</v>
      </c>
      <c r="E41" s="22">
        <v>52093</v>
      </c>
      <c r="F41" s="22" t="str">
        <f t="shared" si="0"/>
        <v>52093</v>
      </c>
      <c r="G41" s="22">
        <v>52093</v>
      </c>
      <c r="H41" s="20">
        <v>42274</v>
      </c>
      <c r="I41" s="17">
        <v>5</v>
      </c>
      <c r="J41" s="2" t="s">
        <v>178</v>
      </c>
      <c r="K41" s="2" t="s">
        <v>217</v>
      </c>
    </row>
    <row r="42" spans="1:11" x14ac:dyDescent="0.35">
      <c r="A42" s="2" t="s">
        <v>48</v>
      </c>
      <c r="B42" s="2" t="s">
        <v>164</v>
      </c>
      <c r="C42" s="2" t="s">
        <v>167</v>
      </c>
      <c r="D42" s="2" t="s">
        <v>344</v>
      </c>
      <c r="E42" s="22">
        <v>48224</v>
      </c>
      <c r="F42" s="22" t="str">
        <f t="shared" si="0"/>
        <v>48224</v>
      </c>
      <c r="G42" s="22">
        <v>48224</v>
      </c>
      <c r="H42" s="20">
        <v>42281</v>
      </c>
      <c r="I42" s="17">
        <v>3</v>
      </c>
      <c r="J42" s="2" t="s">
        <v>178</v>
      </c>
      <c r="K42" s="2" t="s">
        <v>218</v>
      </c>
    </row>
    <row r="43" spans="1:11" x14ac:dyDescent="0.35">
      <c r="A43" s="2" t="s">
        <v>49</v>
      </c>
      <c r="B43" s="2" t="s">
        <v>165</v>
      </c>
      <c r="C43" s="2" t="s">
        <v>335</v>
      </c>
      <c r="D43" s="2" t="s">
        <v>344</v>
      </c>
      <c r="E43" s="22" t="s">
        <v>177</v>
      </c>
      <c r="F43" s="22" t="str">
        <f t="shared" si="0"/>
        <v>0</v>
      </c>
      <c r="G43" s="22">
        <v>65605</v>
      </c>
      <c r="H43" s="20" t="s">
        <v>178</v>
      </c>
      <c r="I43" s="17">
        <v>4</v>
      </c>
      <c r="J43" s="2" t="s">
        <v>181</v>
      </c>
      <c r="K43" s="2" t="s">
        <v>219</v>
      </c>
    </row>
    <row r="44" spans="1:11" x14ac:dyDescent="0.35">
      <c r="A44" s="2" t="s">
        <v>50</v>
      </c>
      <c r="B44" s="2" t="s">
        <v>160</v>
      </c>
      <c r="C44" s="2" t="s">
        <v>169</v>
      </c>
      <c r="D44" s="2" t="s">
        <v>341</v>
      </c>
      <c r="E44" s="22">
        <v>33956</v>
      </c>
      <c r="F44" s="22" t="str">
        <f t="shared" si="0"/>
        <v>33956</v>
      </c>
      <c r="G44" s="22">
        <v>33956</v>
      </c>
      <c r="H44" s="20">
        <v>42295</v>
      </c>
      <c r="I44" s="17">
        <v>3</v>
      </c>
      <c r="J44" s="2" t="s">
        <v>178</v>
      </c>
      <c r="K44" s="2" t="s">
        <v>220</v>
      </c>
    </row>
    <row r="45" spans="1:11" x14ac:dyDescent="0.35">
      <c r="A45" s="2" t="s">
        <v>51</v>
      </c>
      <c r="B45" s="2" t="s">
        <v>165</v>
      </c>
      <c r="C45" s="2" t="s">
        <v>338</v>
      </c>
      <c r="D45" s="2" t="s">
        <v>345</v>
      </c>
      <c r="E45" s="22">
        <v>64913</v>
      </c>
      <c r="F45" s="22" t="str">
        <f t="shared" si="0"/>
        <v>64913</v>
      </c>
      <c r="G45" s="22">
        <v>64913</v>
      </c>
      <c r="H45" s="20">
        <v>42302</v>
      </c>
      <c r="I45" s="17">
        <v>1</v>
      </c>
      <c r="J45" s="2" t="s">
        <v>181</v>
      </c>
      <c r="K45" s="2" t="s">
        <v>221</v>
      </c>
    </row>
    <row r="46" spans="1:11" x14ac:dyDescent="0.35">
      <c r="A46" s="2" t="s">
        <v>52</v>
      </c>
      <c r="B46" s="2" t="s">
        <v>160</v>
      </c>
      <c r="C46" s="2" t="s">
        <v>337</v>
      </c>
      <c r="D46" s="2" t="s">
        <v>345</v>
      </c>
      <c r="E46" s="22">
        <v>35326</v>
      </c>
      <c r="F46" s="22" t="str">
        <f t="shared" si="0"/>
        <v>35326</v>
      </c>
      <c r="G46" s="22">
        <v>35326</v>
      </c>
      <c r="H46" s="20">
        <v>42309</v>
      </c>
      <c r="I46" s="17">
        <v>3</v>
      </c>
      <c r="J46" s="2" t="s">
        <v>181</v>
      </c>
      <c r="K46" s="2" t="s">
        <v>222</v>
      </c>
    </row>
    <row r="47" spans="1:11" x14ac:dyDescent="0.35">
      <c r="A47" s="2" t="s">
        <v>53</v>
      </c>
      <c r="B47" s="2" t="s">
        <v>164</v>
      </c>
      <c r="C47" s="2" t="s">
        <v>335</v>
      </c>
      <c r="D47" s="2" t="s">
        <v>340</v>
      </c>
      <c r="E47" s="22">
        <v>81610</v>
      </c>
      <c r="F47" s="22" t="str">
        <f t="shared" si="0"/>
        <v>81610</v>
      </c>
      <c r="G47" s="22">
        <v>81610</v>
      </c>
      <c r="H47" s="20">
        <v>42316</v>
      </c>
      <c r="I47" s="17">
        <v>1</v>
      </c>
      <c r="J47" s="2" t="s">
        <v>178</v>
      </c>
      <c r="K47" s="2" t="s">
        <v>223</v>
      </c>
    </row>
    <row r="48" spans="1:11" x14ac:dyDescent="0.35">
      <c r="A48" s="2" t="s">
        <v>54</v>
      </c>
      <c r="B48" s="2" t="s">
        <v>178</v>
      </c>
      <c r="C48" s="2" t="s">
        <v>167</v>
      </c>
      <c r="D48" s="2" t="s">
        <v>340</v>
      </c>
      <c r="E48" s="22">
        <v>58962</v>
      </c>
      <c r="F48" s="22" t="str">
        <f t="shared" si="0"/>
        <v>58962</v>
      </c>
      <c r="G48" s="22">
        <v>58962</v>
      </c>
      <c r="H48" s="20">
        <v>42323</v>
      </c>
      <c r="I48" s="17">
        <v>3</v>
      </c>
      <c r="J48" s="2" t="s">
        <v>179</v>
      </c>
      <c r="K48" s="2" t="s">
        <v>183</v>
      </c>
    </row>
    <row r="49" spans="1:11" x14ac:dyDescent="0.35">
      <c r="A49" s="2" t="s">
        <v>55</v>
      </c>
      <c r="B49" s="2" t="s">
        <v>164</v>
      </c>
      <c r="C49" s="2" t="s">
        <v>169</v>
      </c>
      <c r="D49" s="2" t="s">
        <v>341</v>
      </c>
      <c r="E49" s="22">
        <v>92701</v>
      </c>
      <c r="F49" s="22" t="str">
        <f t="shared" si="0"/>
        <v>92701</v>
      </c>
      <c r="G49" s="22">
        <v>92701</v>
      </c>
      <c r="H49" s="20">
        <v>42330</v>
      </c>
      <c r="I49" s="17">
        <v>3</v>
      </c>
      <c r="J49" s="2" t="s">
        <v>179</v>
      </c>
      <c r="K49" s="2" t="s">
        <v>224</v>
      </c>
    </row>
    <row r="50" spans="1:11" x14ac:dyDescent="0.35">
      <c r="A50" s="2" t="s">
        <v>56</v>
      </c>
      <c r="B50" s="2" t="s">
        <v>164</v>
      </c>
      <c r="C50" s="2" t="s">
        <v>167</v>
      </c>
      <c r="D50" s="2" t="s">
        <v>343</v>
      </c>
      <c r="E50" s="22">
        <v>58245</v>
      </c>
      <c r="F50" s="22" t="str">
        <f t="shared" si="0"/>
        <v>58245</v>
      </c>
      <c r="G50" s="22">
        <v>58245</v>
      </c>
      <c r="H50" s="20">
        <v>42337</v>
      </c>
      <c r="I50" s="17">
        <v>4</v>
      </c>
      <c r="J50" s="2" t="s">
        <v>178</v>
      </c>
      <c r="K50" s="2" t="s">
        <v>225</v>
      </c>
    </row>
    <row r="51" spans="1:11" x14ac:dyDescent="0.35">
      <c r="A51" s="2" t="s">
        <v>57</v>
      </c>
      <c r="B51" s="2" t="s">
        <v>161</v>
      </c>
      <c r="C51" s="2" t="s">
        <v>335</v>
      </c>
      <c r="D51" s="2" t="s">
        <v>340</v>
      </c>
      <c r="E51" s="22">
        <v>66513</v>
      </c>
      <c r="F51" s="22" t="str">
        <f t="shared" si="0"/>
        <v>66513</v>
      </c>
      <c r="G51" s="22">
        <v>66513</v>
      </c>
      <c r="H51" s="20">
        <v>42344</v>
      </c>
      <c r="I51" s="17">
        <v>2</v>
      </c>
      <c r="J51" s="2" t="s">
        <v>179</v>
      </c>
      <c r="K51" s="2" t="s">
        <v>187</v>
      </c>
    </row>
    <row r="52" spans="1:11" x14ac:dyDescent="0.35">
      <c r="A52" s="2" t="s">
        <v>58</v>
      </c>
      <c r="B52" s="2" t="s">
        <v>159</v>
      </c>
      <c r="C52" s="2" t="s">
        <v>167</v>
      </c>
      <c r="D52" s="2" t="s">
        <v>341</v>
      </c>
      <c r="E52" s="22">
        <v>78720</v>
      </c>
      <c r="F52" s="22" t="str">
        <f t="shared" si="0"/>
        <v>78720</v>
      </c>
      <c r="G52" s="22">
        <v>78720</v>
      </c>
      <c r="H52" s="20">
        <v>42351</v>
      </c>
      <c r="I52" s="17">
        <v>5</v>
      </c>
      <c r="J52" s="2" t="s">
        <v>181</v>
      </c>
      <c r="K52" s="2" t="s">
        <v>219</v>
      </c>
    </row>
    <row r="53" spans="1:11" x14ac:dyDescent="0.35">
      <c r="A53" s="2" t="s">
        <v>59</v>
      </c>
      <c r="B53" s="2" t="s">
        <v>164</v>
      </c>
      <c r="C53" s="2" t="s">
        <v>338</v>
      </c>
      <c r="D53" s="2" t="s">
        <v>340</v>
      </c>
      <c r="E53" s="22">
        <v>30686</v>
      </c>
      <c r="F53" s="22" t="str">
        <f t="shared" si="0"/>
        <v>30686</v>
      </c>
      <c r="G53" s="22">
        <v>30686</v>
      </c>
      <c r="H53" s="20" t="s">
        <v>178</v>
      </c>
      <c r="I53" s="17">
        <v>2</v>
      </c>
      <c r="J53" s="2" t="s">
        <v>181</v>
      </c>
      <c r="K53" s="2" t="s">
        <v>226</v>
      </c>
    </row>
    <row r="54" spans="1:11" x14ac:dyDescent="0.35">
      <c r="A54" s="2" t="s">
        <v>60</v>
      </c>
      <c r="B54" s="2" t="s">
        <v>163</v>
      </c>
      <c r="C54" s="2" t="s">
        <v>336</v>
      </c>
      <c r="D54" s="2" t="s">
        <v>343</v>
      </c>
      <c r="E54" s="22">
        <v>39423</v>
      </c>
      <c r="F54" s="22" t="str">
        <f t="shared" si="0"/>
        <v>39423</v>
      </c>
      <c r="G54" s="22">
        <v>39423</v>
      </c>
      <c r="H54" s="20">
        <v>42365</v>
      </c>
      <c r="I54" s="17">
        <v>5</v>
      </c>
      <c r="J54" s="2" t="s">
        <v>178</v>
      </c>
      <c r="K54" s="2" t="s">
        <v>227</v>
      </c>
    </row>
    <row r="55" spans="1:11" x14ac:dyDescent="0.35">
      <c r="A55" s="2" t="s">
        <v>61</v>
      </c>
      <c r="B55" s="2" t="s">
        <v>159</v>
      </c>
      <c r="C55" s="2" t="s">
        <v>337</v>
      </c>
      <c r="D55" s="2" t="s">
        <v>340</v>
      </c>
      <c r="E55" s="22">
        <v>30280</v>
      </c>
      <c r="F55" s="22" t="str">
        <f t="shared" si="0"/>
        <v>30280</v>
      </c>
      <c r="G55" s="22">
        <v>30280</v>
      </c>
      <c r="H55" s="20">
        <v>42372</v>
      </c>
      <c r="I55" s="17">
        <v>1</v>
      </c>
      <c r="J55" s="2" t="s">
        <v>178</v>
      </c>
      <c r="K55" s="2" t="s">
        <v>228</v>
      </c>
    </row>
    <row r="56" spans="1:11" x14ac:dyDescent="0.35">
      <c r="A56" s="2" t="s">
        <v>62</v>
      </c>
      <c r="B56" s="2" t="s">
        <v>159</v>
      </c>
      <c r="C56" s="2" t="s">
        <v>335</v>
      </c>
      <c r="D56" s="2" t="s">
        <v>344</v>
      </c>
      <c r="E56" s="22">
        <v>33352</v>
      </c>
      <c r="F56" s="22" t="str">
        <f t="shared" si="0"/>
        <v>33352</v>
      </c>
      <c r="G56" s="22">
        <v>33352</v>
      </c>
      <c r="H56" s="20">
        <v>42379</v>
      </c>
      <c r="I56" s="17">
        <v>3</v>
      </c>
      <c r="J56" s="2" t="s">
        <v>181</v>
      </c>
      <c r="K56" s="2" t="s">
        <v>200</v>
      </c>
    </row>
    <row r="57" spans="1:11" x14ac:dyDescent="0.35">
      <c r="A57" s="2" t="s">
        <v>63</v>
      </c>
      <c r="B57" s="2" t="s">
        <v>165</v>
      </c>
      <c r="C57" s="2" t="s">
        <v>337</v>
      </c>
      <c r="D57" s="2" t="s">
        <v>344</v>
      </c>
      <c r="E57" s="22">
        <v>75633</v>
      </c>
      <c r="F57" s="22" t="str">
        <f t="shared" si="0"/>
        <v>75633</v>
      </c>
      <c r="G57" s="22">
        <v>75633</v>
      </c>
      <c r="H57" s="20">
        <v>42386</v>
      </c>
      <c r="I57" s="17">
        <v>5</v>
      </c>
      <c r="J57" s="2" t="s">
        <v>179</v>
      </c>
      <c r="K57" s="2" t="s">
        <v>229</v>
      </c>
    </row>
    <row r="58" spans="1:11" x14ac:dyDescent="0.35">
      <c r="A58" s="2" t="s">
        <v>64</v>
      </c>
      <c r="B58" s="2" t="s">
        <v>164</v>
      </c>
      <c r="C58" s="2" t="s">
        <v>338</v>
      </c>
      <c r="D58" s="2" t="s">
        <v>342</v>
      </c>
      <c r="E58" s="22">
        <v>74815</v>
      </c>
      <c r="F58" s="22" t="str">
        <f t="shared" si="0"/>
        <v>74815</v>
      </c>
      <c r="G58" s="22">
        <v>74815</v>
      </c>
      <c r="H58" s="20">
        <v>42393</v>
      </c>
      <c r="I58" s="17">
        <v>5</v>
      </c>
      <c r="J58" s="2" t="s">
        <v>181</v>
      </c>
      <c r="K58" s="2" t="s">
        <v>230</v>
      </c>
    </row>
    <row r="59" spans="1:11" x14ac:dyDescent="0.35">
      <c r="A59" s="2" t="s">
        <v>65</v>
      </c>
      <c r="B59" s="2" t="s">
        <v>161</v>
      </c>
      <c r="C59" s="2" t="s">
        <v>336</v>
      </c>
      <c r="D59" s="2" t="s">
        <v>345</v>
      </c>
      <c r="E59" s="22">
        <v>60011</v>
      </c>
      <c r="F59" s="22" t="str">
        <f t="shared" si="0"/>
        <v>60011</v>
      </c>
      <c r="G59" s="22">
        <v>60011</v>
      </c>
      <c r="H59" s="20">
        <v>42400</v>
      </c>
      <c r="I59" s="17">
        <v>1</v>
      </c>
      <c r="J59" s="2" t="s">
        <v>180</v>
      </c>
      <c r="K59" s="2" t="s">
        <v>231</v>
      </c>
    </row>
    <row r="60" spans="1:11" x14ac:dyDescent="0.35">
      <c r="A60" s="2" t="s">
        <v>66</v>
      </c>
      <c r="B60" s="2" t="s">
        <v>159</v>
      </c>
      <c r="C60" s="2" t="s">
        <v>338</v>
      </c>
      <c r="D60" s="2" t="s">
        <v>343</v>
      </c>
      <c r="E60" s="22">
        <v>96949</v>
      </c>
      <c r="F60" s="22" t="str">
        <f t="shared" si="0"/>
        <v>96949</v>
      </c>
      <c r="G60" s="22">
        <v>96949</v>
      </c>
      <c r="H60" s="20">
        <v>42407</v>
      </c>
      <c r="I60" s="17">
        <v>3</v>
      </c>
      <c r="J60" s="2" t="s">
        <v>178</v>
      </c>
      <c r="K60" s="2" t="s">
        <v>207</v>
      </c>
    </row>
    <row r="61" spans="1:11" x14ac:dyDescent="0.35">
      <c r="A61" s="2" t="s">
        <v>67</v>
      </c>
      <c r="B61" s="2" t="s">
        <v>163</v>
      </c>
      <c r="C61" s="2" t="s">
        <v>337</v>
      </c>
      <c r="D61" s="2" t="s">
        <v>340</v>
      </c>
      <c r="E61" s="22">
        <v>84924</v>
      </c>
      <c r="F61" s="22" t="str">
        <f t="shared" si="0"/>
        <v>84924</v>
      </c>
      <c r="G61" s="22">
        <v>84924</v>
      </c>
      <c r="H61" s="20">
        <v>42414</v>
      </c>
      <c r="I61" s="17">
        <v>5</v>
      </c>
      <c r="J61" s="2" t="s">
        <v>180</v>
      </c>
      <c r="K61" s="2" t="s">
        <v>232</v>
      </c>
    </row>
    <row r="62" spans="1:11" x14ac:dyDescent="0.35">
      <c r="A62" s="2" t="s">
        <v>68</v>
      </c>
      <c r="B62" s="2" t="s">
        <v>163</v>
      </c>
      <c r="C62" s="2" t="s">
        <v>335</v>
      </c>
      <c r="D62" s="2" t="s">
        <v>342</v>
      </c>
      <c r="E62" s="22">
        <v>82033</v>
      </c>
      <c r="F62" s="22" t="str">
        <f t="shared" si="0"/>
        <v>82033</v>
      </c>
      <c r="G62" s="22">
        <v>82033</v>
      </c>
      <c r="H62" s="20">
        <v>42421</v>
      </c>
      <c r="I62" s="17">
        <v>1</v>
      </c>
      <c r="J62" s="2" t="s">
        <v>178</v>
      </c>
      <c r="K62" s="2" t="s">
        <v>223</v>
      </c>
    </row>
    <row r="63" spans="1:11" x14ac:dyDescent="0.35">
      <c r="A63" s="2" t="s">
        <v>69</v>
      </c>
      <c r="B63" s="2" t="s">
        <v>178</v>
      </c>
      <c r="C63" s="2" t="s">
        <v>337</v>
      </c>
      <c r="D63" s="2" t="s">
        <v>341</v>
      </c>
      <c r="E63" s="22" t="s">
        <v>177</v>
      </c>
      <c r="F63" s="22" t="str">
        <f t="shared" si="0"/>
        <v>0</v>
      </c>
      <c r="G63" s="22">
        <v>63687</v>
      </c>
      <c r="H63" s="20" t="s">
        <v>178</v>
      </c>
      <c r="I63" s="17">
        <v>5</v>
      </c>
      <c r="J63" s="2" t="s">
        <v>178</v>
      </c>
      <c r="K63" s="2" t="s">
        <v>233</v>
      </c>
    </row>
    <row r="64" spans="1:11" x14ac:dyDescent="0.35">
      <c r="A64" s="2" t="s">
        <v>70</v>
      </c>
      <c r="B64" s="2" t="s">
        <v>159</v>
      </c>
      <c r="C64" s="2" t="s">
        <v>338</v>
      </c>
      <c r="D64" s="2" t="s">
        <v>345</v>
      </c>
      <c r="E64" s="22">
        <v>31499</v>
      </c>
      <c r="F64" s="22" t="str">
        <f t="shared" si="0"/>
        <v>31499</v>
      </c>
      <c r="G64" s="22">
        <v>31499</v>
      </c>
      <c r="H64" s="20">
        <v>42435</v>
      </c>
      <c r="I64" s="17">
        <v>2</v>
      </c>
      <c r="J64" s="2" t="s">
        <v>178</v>
      </c>
      <c r="K64" s="2" t="s">
        <v>215</v>
      </c>
    </row>
    <row r="65" spans="1:11" x14ac:dyDescent="0.35">
      <c r="A65" s="2" t="s">
        <v>71</v>
      </c>
      <c r="B65" s="2" t="s">
        <v>164</v>
      </c>
      <c r="C65" s="2" t="s">
        <v>169</v>
      </c>
      <c r="D65" s="2" t="s">
        <v>344</v>
      </c>
      <c r="E65" s="22">
        <v>97981</v>
      </c>
      <c r="F65" s="22" t="str">
        <f t="shared" si="0"/>
        <v>97981</v>
      </c>
      <c r="G65" s="22">
        <v>97981</v>
      </c>
      <c r="H65" s="20">
        <v>42442</v>
      </c>
      <c r="I65" s="17">
        <v>5</v>
      </c>
      <c r="J65" s="2" t="s">
        <v>181</v>
      </c>
      <c r="K65" s="2" t="s">
        <v>234</v>
      </c>
    </row>
    <row r="66" spans="1:11" x14ac:dyDescent="0.35">
      <c r="A66" s="2" t="s">
        <v>72</v>
      </c>
      <c r="B66" s="2" t="s">
        <v>159</v>
      </c>
      <c r="C66" s="2" t="s">
        <v>167</v>
      </c>
      <c r="D66" s="2" t="s">
        <v>342</v>
      </c>
      <c r="E66" s="22">
        <v>36541</v>
      </c>
      <c r="F66" s="22" t="str">
        <f t="shared" si="0"/>
        <v>36541</v>
      </c>
      <c r="G66" s="22">
        <v>36541</v>
      </c>
      <c r="H66" s="20">
        <v>42449</v>
      </c>
      <c r="I66" s="17">
        <v>2</v>
      </c>
      <c r="J66" s="2" t="s">
        <v>179</v>
      </c>
      <c r="K66" s="2" t="s">
        <v>235</v>
      </c>
    </row>
    <row r="67" spans="1:11" x14ac:dyDescent="0.35">
      <c r="A67" s="2" t="s">
        <v>73</v>
      </c>
      <c r="B67" s="2" t="s">
        <v>161</v>
      </c>
      <c r="C67" s="2" t="s">
        <v>169</v>
      </c>
      <c r="D67" s="2" t="s">
        <v>343</v>
      </c>
      <c r="E67" s="22">
        <v>84737</v>
      </c>
      <c r="F67" s="22" t="str">
        <f t="shared" si="0"/>
        <v>84737</v>
      </c>
      <c r="G67" s="22">
        <v>84737</v>
      </c>
      <c r="H67" s="20">
        <v>42456</v>
      </c>
      <c r="I67" s="17">
        <v>1</v>
      </c>
      <c r="J67" s="2" t="s">
        <v>180</v>
      </c>
      <c r="K67" s="2" t="s">
        <v>236</v>
      </c>
    </row>
    <row r="68" spans="1:11" x14ac:dyDescent="0.35">
      <c r="A68" s="2" t="s">
        <v>74</v>
      </c>
      <c r="B68" s="2" t="s">
        <v>163</v>
      </c>
      <c r="C68" s="2" t="s">
        <v>335</v>
      </c>
      <c r="D68" s="2" t="s">
        <v>343</v>
      </c>
      <c r="E68" s="22">
        <v>33468</v>
      </c>
      <c r="F68" s="22" t="str">
        <f t="shared" ref="F68:F131" si="1">SUBSTITUTE(E68,"N/A","0")</f>
        <v>33468</v>
      </c>
      <c r="G68" s="22">
        <v>33468</v>
      </c>
      <c r="H68" s="20">
        <v>42463</v>
      </c>
      <c r="I68" s="17">
        <v>4</v>
      </c>
      <c r="J68" s="2" t="s">
        <v>180</v>
      </c>
      <c r="K68" s="2" t="s">
        <v>237</v>
      </c>
    </row>
    <row r="69" spans="1:11" x14ac:dyDescent="0.35">
      <c r="A69" s="2" t="s">
        <v>75</v>
      </c>
      <c r="B69" s="2" t="s">
        <v>163</v>
      </c>
      <c r="C69" s="2" t="s">
        <v>338</v>
      </c>
      <c r="D69" s="2" t="s">
        <v>345</v>
      </c>
      <c r="E69" s="22">
        <v>96365</v>
      </c>
      <c r="F69" s="22" t="str">
        <f t="shared" si="1"/>
        <v>96365</v>
      </c>
      <c r="G69" s="22">
        <v>96365</v>
      </c>
      <c r="H69" s="20">
        <v>42470</v>
      </c>
      <c r="I69" s="17">
        <v>3</v>
      </c>
      <c r="J69" s="2" t="s">
        <v>179</v>
      </c>
      <c r="K69" s="2" t="s">
        <v>238</v>
      </c>
    </row>
    <row r="70" spans="1:11" x14ac:dyDescent="0.35">
      <c r="A70" s="2" t="s">
        <v>76</v>
      </c>
      <c r="B70" s="2" t="s">
        <v>160</v>
      </c>
      <c r="C70" s="2" t="s">
        <v>336</v>
      </c>
      <c r="D70" s="2" t="s">
        <v>343</v>
      </c>
      <c r="E70" s="22">
        <v>61942</v>
      </c>
      <c r="F70" s="22" t="str">
        <f t="shared" si="1"/>
        <v>61942</v>
      </c>
      <c r="G70" s="22">
        <v>61942</v>
      </c>
      <c r="H70" s="20">
        <v>42477</v>
      </c>
      <c r="I70" s="17">
        <v>3</v>
      </c>
      <c r="J70" s="2" t="s">
        <v>181</v>
      </c>
      <c r="K70" s="2" t="s">
        <v>239</v>
      </c>
    </row>
    <row r="71" spans="1:11" x14ac:dyDescent="0.35">
      <c r="A71" s="2" t="s">
        <v>77</v>
      </c>
      <c r="B71" s="2" t="s">
        <v>163</v>
      </c>
      <c r="C71" s="2" t="s">
        <v>335</v>
      </c>
      <c r="D71" s="2" t="s">
        <v>344</v>
      </c>
      <c r="E71" s="22">
        <v>41467</v>
      </c>
      <c r="F71" s="22" t="str">
        <f t="shared" si="1"/>
        <v>41467</v>
      </c>
      <c r="G71" s="22">
        <v>41467</v>
      </c>
      <c r="H71" s="20">
        <v>42484</v>
      </c>
      <c r="I71" s="17">
        <v>2</v>
      </c>
      <c r="J71" s="2" t="s">
        <v>178</v>
      </c>
      <c r="K71" s="2" t="s">
        <v>201</v>
      </c>
    </row>
    <row r="72" spans="1:11" x14ac:dyDescent="0.35">
      <c r="A72" s="2" t="s">
        <v>78</v>
      </c>
      <c r="B72" s="2" t="s">
        <v>165</v>
      </c>
      <c r="C72" s="2" t="s">
        <v>335</v>
      </c>
      <c r="D72" s="2" t="s">
        <v>343</v>
      </c>
      <c r="E72" s="22">
        <v>77096</v>
      </c>
      <c r="F72" s="22" t="str">
        <f t="shared" si="1"/>
        <v>77096</v>
      </c>
      <c r="G72" s="22">
        <v>77096</v>
      </c>
      <c r="H72" s="20">
        <v>42491</v>
      </c>
      <c r="I72" s="17">
        <v>1</v>
      </c>
      <c r="J72" s="2" t="s">
        <v>178</v>
      </c>
      <c r="K72" s="2" t="s">
        <v>240</v>
      </c>
    </row>
    <row r="73" spans="1:11" x14ac:dyDescent="0.35">
      <c r="A73" s="2" t="s">
        <v>79</v>
      </c>
      <c r="B73" s="2" t="s">
        <v>159</v>
      </c>
      <c r="C73" s="2" t="s">
        <v>336</v>
      </c>
      <c r="D73" s="2" t="s">
        <v>345</v>
      </c>
      <c r="E73" s="22">
        <v>69952</v>
      </c>
      <c r="F73" s="22" t="str">
        <f t="shared" si="1"/>
        <v>69952</v>
      </c>
      <c r="G73" s="22">
        <v>69952</v>
      </c>
      <c r="H73" s="20">
        <v>42498</v>
      </c>
      <c r="I73" s="17">
        <v>5</v>
      </c>
      <c r="J73" s="2" t="s">
        <v>181</v>
      </c>
      <c r="K73" s="2" t="s">
        <v>182</v>
      </c>
    </row>
    <row r="74" spans="1:11" x14ac:dyDescent="0.35">
      <c r="A74" s="2" t="s">
        <v>80</v>
      </c>
      <c r="B74" s="2" t="s">
        <v>159</v>
      </c>
      <c r="C74" s="2" t="s">
        <v>337</v>
      </c>
      <c r="D74" s="2" t="s">
        <v>342</v>
      </c>
      <c r="E74" s="22">
        <v>85065</v>
      </c>
      <c r="F74" s="22" t="str">
        <f t="shared" si="1"/>
        <v>85065</v>
      </c>
      <c r="G74" s="22">
        <v>85065</v>
      </c>
      <c r="H74" s="20">
        <v>42505</v>
      </c>
      <c r="I74" s="17">
        <v>3</v>
      </c>
      <c r="J74" s="2" t="s">
        <v>178</v>
      </c>
      <c r="K74" s="2" t="s">
        <v>241</v>
      </c>
    </row>
    <row r="75" spans="1:11" x14ac:dyDescent="0.35">
      <c r="A75" s="2" t="s">
        <v>81</v>
      </c>
      <c r="B75" s="2" t="s">
        <v>165</v>
      </c>
      <c r="C75" s="2" t="s">
        <v>337</v>
      </c>
      <c r="D75" s="2" t="s">
        <v>343</v>
      </c>
      <c r="E75" s="22">
        <v>56512</v>
      </c>
      <c r="F75" s="22" t="str">
        <f t="shared" si="1"/>
        <v>56512</v>
      </c>
      <c r="G75" s="22">
        <v>56512</v>
      </c>
      <c r="H75" s="20">
        <v>42512</v>
      </c>
      <c r="I75" s="17">
        <v>3</v>
      </c>
      <c r="J75" s="2" t="s">
        <v>179</v>
      </c>
      <c r="K75" s="2" t="s">
        <v>190</v>
      </c>
    </row>
    <row r="76" spans="1:11" x14ac:dyDescent="0.35">
      <c r="A76" s="2" t="s">
        <v>82</v>
      </c>
      <c r="B76" s="2" t="s">
        <v>161</v>
      </c>
      <c r="C76" s="2" t="s">
        <v>336</v>
      </c>
      <c r="D76" s="2" t="s">
        <v>343</v>
      </c>
      <c r="E76" s="22">
        <v>91101</v>
      </c>
      <c r="F76" s="22" t="str">
        <f t="shared" si="1"/>
        <v>91101</v>
      </c>
      <c r="G76" s="22">
        <v>91101</v>
      </c>
      <c r="H76" s="20">
        <v>42519</v>
      </c>
      <c r="I76" s="17">
        <v>4</v>
      </c>
      <c r="J76" s="2" t="s">
        <v>181</v>
      </c>
      <c r="K76" s="2" t="s">
        <v>234</v>
      </c>
    </row>
    <row r="77" spans="1:11" x14ac:dyDescent="0.35">
      <c r="A77" s="2" t="s">
        <v>83</v>
      </c>
      <c r="B77" s="2" t="s">
        <v>163</v>
      </c>
      <c r="C77" s="2" t="s">
        <v>338</v>
      </c>
      <c r="D77" s="2" t="s">
        <v>341</v>
      </c>
      <c r="E77" s="22">
        <v>41243</v>
      </c>
      <c r="F77" s="22" t="str">
        <f t="shared" si="1"/>
        <v>41243</v>
      </c>
      <c r="G77" s="22">
        <v>41243</v>
      </c>
      <c r="H77" s="20">
        <v>42526</v>
      </c>
      <c r="I77" s="17">
        <v>3</v>
      </c>
      <c r="J77" s="2" t="s">
        <v>178</v>
      </c>
      <c r="K77" s="2" t="s">
        <v>211</v>
      </c>
    </row>
    <row r="78" spans="1:11" x14ac:dyDescent="0.35">
      <c r="A78" s="2" t="s">
        <v>84</v>
      </c>
      <c r="B78" s="2" t="s">
        <v>178</v>
      </c>
      <c r="C78" s="2" t="s">
        <v>336</v>
      </c>
      <c r="D78" s="2" t="s">
        <v>340</v>
      </c>
      <c r="E78" s="22">
        <v>96142</v>
      </c>
      <c r="F78" s="22" t="str">
        <f t="shared" si="1"/>
        <v>96142</v>
      </c>
      <c r="G78" s="22">
        <v>96142</v>
      </c>
      <c r="H78" s="20">
        <v>42533</v>
      </c>
      <c r="I78" s="17">
        <v>1</v>
      </c>
      <c r="J78" s="2" t="s">
        <v>179</v>
      </c>
      <c r="K78" s="2" t="s">
        <v>242</v>
      </c>
    </row>
    <row r="79" spans="1:11" x14ac:dyDescent="0.35">
      <c r="A79" s="2" t="s">
        <v>85</v>
      </c>
      <c r="B79" s="2" t="s">
        <v>159</v>
      </c>
      <c r="C79" s="2" t="s">
        <v>169</v>
      </c>
      <c r="D79" s="2" t="s">
        <v>343</v>
      </c>
      <c r="E79" s="22">
        <v>94301</v>
      </c>
      <c r="F79" s="22" t="str">
        <f t="shared" si="1"/>
        <v>94301</v>
      </c>
      <c r="G79" s="22">
        <v>94301</v>
      </c>
      <c r="H79" s="20">
        <v>42540</v>
      </c>
      <c r="I79" s="17">
        <v>1</v>
      </c>
      <c r="J79" s="2" t="s">
        <v>180</v>
      </c>
      <c r="K79" s="2" t="s">
        <v>223</v>
      </c>
    </row>
    <row r="80" spans="1:11" x14ac:dyDescent="0.35">
      <c r="A80" s="2" t="s">
        <v>86</v>
      </c>
      <c r="B80" s="2" t="s">
        <v>162</v>
      </c>
      <c r="C80" s="2" t="s">
        <v>338</v>
      </c>
      <c r="D80" s="2" t="s">
        <v>344</v>
      </c>
      <c r="E80" s="22">
        <v>69166</v>
      </c>
      <c r="F80" s="22" t="str">
        <f t="shared" si="1"/>
        <v>69166</v>
      </c>
      <c r="G80" s="22">
        <v>69166</v>
      </c>
      <c r="H80" s="20">
        <v>42547</v>
      </c>
      <c r="I80" s="17">
        <v>1</v>
      </c>
      <c r="J80" s="2" t="s">
        <v>181</v>
      </c>
      <c r="K80" s="2" t="s">
        <v>243</v>
      </c>
    </row>
    <row r="81" spans="1:11" x14ac:dyDescent="0.35">
      <c r="A81" s="2" t="s">
        <v>87</v>
      </c>
      <c r="B81" s="2" t="s">
        <v>163</v>
      </c>
      <c r="C81" s="2" t="s">
        <v>338</v>
      </c>
      <c r="D81" s="2" t="s">
        <v>344</v>
      </c>
      <c r="E81" s="22">
        <v>78245</v>
      </c>
      <c r="F81" s="22" t="str">
        <f t="shared" si="1"/>
        <v>78245</v>
      </c>
      <c r="G81" s="22">
        <v>78245</v>
      </c>
      <c r="H81" s="20">
        <v>42554</v>
      </c>
      <c r="I81" s="17">
        <v>2</v>
      </c>
      <c r="J81" s="2" t="s">
        <v>178</v>
      </c>
      <c r="K81" s="2" t="s">
        <v>244</v>
      </c>
    </row>
    <row r="82" spans="1:11" x14ac:dyDescent="0.35">
      <c r="A82" s="2" t="s">
        <v>88</v>
      </c>
      <c r="B82" s="2" t="s">
        <v>164</v>
      </c>
      <c r="C82" s="2" t="s">
        <v>336</v>
      </c>
      <c r="D82" s="2" t="s">
        <v>342</v>
      </c>
      <c r="E82" s="22">
        <v>66079</v>
      </c>
      <c r="F82" s="22" t="str">
        <f t="shared" si="1"/>
        <v>66079</v>
      </c>
      <c r="G82" s="22">
        <v>66079</v>
      </c>
      <c r="H82" s="20">
        <v>42561</v>
      </c>
      <c r="I82" s="17">
        <v>2</v>
      </c>
      <c r="J82" s="2" t="s">
        <v>179</v>
      </c>
      <c r="K82" s="2" t="s">
        <v>245</v>
      </c>
    </row>
    <row r="83" spans="1:11" x14ac:dyDescent="0.35">
      <c r="A83" s="2" t="s">
        <v>89</v>
      </c>
      <c r="B83" s="2" t="s">
        <v>159</v>
      </c>
      <c r="C83" s="2" t="s">
        <v>337</v>
      </c>
      <c r="D83" s="2" t="s">
        <v>343</v>
      </c>
      <c r="E83" s="22" t="s">
        <v>177</v>
      </c>
      <c r="F83" s="22" t="str">
        <f t="shared" si="1"/>
        <v>0</v>
      </c>
      <c r="G83" s="22">
        <v>63687</v>
      </c>
      <c r="H83" s="20" t="s">
        <v>178</v>
      </c>
      <c r="I83" s="17">
        <v>3</v>
      </c>
      <c r="J83" s="2" t="s">
        <v>178</v>
      </c>
      <c r="K83" s="2" t="s">
        <v>208</v>
      </c>
    </row>
    <row r="84" spans="1:11" x14ac:dyDescent="0.35">
      <c r="A84" s="2" t="s">
        <v>90</v>
      </c>
      <c r="B84" s="2" t="s">
        <v>162</v>
      </c>
      <c r="C84" s="2" t="s">
        <v>336</v>
      </c>
      <c r="D84" s="2" t="s">
        <v>342</v>
      </c>
      <c r="E84" s="22">
        <v>95621</v>
      </c>
      <c r="F84" s="22" t="str">
        <f t="shared" si="1"/>
        <v>95621</v>
      </c>
      <c r="G84" s="22">
        <v>95621</v>
      </c>
      <c r="H84" s="20">
        <v>42575</v>
      </c>
      <c r="I84" s="17">
        <v>3</v>
      </c>
      <c r="J84" s="2" t="s">
        <v>181</v>
      </c>
      <c r="K84" s="2" t="s">
        <v>246</v>
      </c>
    </row>
    <row r="85" spans="1:11" x14ac:dyDescent="0.35">
      <c r="A85" s="2" t="s">
        <v>91</v>
      </c>
      <c r="B85" s="2" t="s">
        <v>159</v>
      </c>
      <c r="C85" s="2" t="s">
        <v>169</v>
      </c>
      <c r="D85" s="2" t="s">
        <v>344</v>
      </c>
      <c r="E85" s="22">
        <v>42262</v>
      </c>
      <c r="F85" s="22" t="str">
        <f t="shared" si="1"/>
        <v>42262</v>
      </c>
      <c r="G85" s="22">
        <v>42262</v>
      </c>
      <c r="H85" s="20">
        <v>42582</v>
      </c>
      <c r="I85" s="17">
        <v>1</v>
      </c>
      <c r="J85" s="2" t="s">
        <v>178</v>
      </c>
      <c r="K85" s="2" t="s">
        <v>247</v>
      </c>
    </row>
    <row r="86" spans="1:11" x14ac:dyDescent="0.35">
      <c r="A86" s="2" t="s">
        <v>92</v>
      </c>
      <c r="B86" s="2" t="s">
        <v>163</v>
      </c>
      <c r="C86" s="2" t="s">
        <v>336</v>
      </c>
      <c r="D86" s="2" t="s">
        <v>343</v>
      </c>
      <c r="E86" s="22">
        <v>99621</v>
      </c>
      <c r="F86" s="22" t="str">
        <f t="shared" si="1"/>
        <v>99621</v>
      </c>
      <c r="G86" s="22">
        <v>99621</v>
      </c>
      <c r="H86" s="20">
        <v>42589</v>
      </c>
      <c r="I86" s="17">
        <v>3</v>
      </c>
      <c r="J86" s="2" t="s">
        <v>179</v>
      </c>
      <c r="K86" s="2" t="s">
        <v>248</v>
      </c>
    </row>
    <row r="87" spans="1:11" x14ac:dyDescent="0.35">
      <c r="A87" s="2" t="s">
        <v>93</v>
      </c>
      <c r="B87" s="2" t="s">
        <v>161</v>
      </c>
      <c r="C87" s="2" t="s">
        <v>337</v>
      </c>
      <c r="D87" s="2" t="s">
        <v>343</v>
      </c>
      <c r="E87" s="22">
        <v>44682</v>
      </c>
      <c r="F87" s="22" t="str">
        <f t="shared" si="1"/>
        <v>44682</v>
      </c>
      <c r="G87" s="22">
        <v>44682</v>
      </c>
      <c r="H87" s="20">
        <v>42596</v>
      </c>
      <c r="I87" s="17">
        <v>4</v>
      </c>
      <c r="J87" s="2" t="s">
        <v>181</v>
      </c>
      <c r="K87" s="2" t="s">
        <v>220</v>
      </c>
    </row>
    <row r="88" spans="1:11" x14ac:dyDescent="0.35">
      <c r="A88" s="2" t="s">
        <v>94</v>
      </c>
      <c r="B88" s="2" t="s">
        <v>164</v>
      </c>
      <c r="C88" s="2" t="s">
        <v>335</v>
      </c>
      <c r="D88" s="2" t="s">
        <v>340</v>
      </c>
      <c r="E88" s="22">
        <v>35163</v>
      </c>
      <c r="F88" s="22" t="str">
        <f t="shared" si="1"/>
        <v>35163</v>
      </c>
      <c r="G88" s="22">
        <v>35163</v>
      </c>
      <c r="H88" s="20">
        <v>42603</v>
      </c>
      <c r="I88" s="17">
        <v>5</v>
      </c>
      <c r="J88" s="2" t="s">
        <v>179</v>
      </c>
      <c r="K88" s="2" t="s">
        <v>249</v>
      </c>
    </row>
    <row r="89" spans="1:11" x14ac:dyDescent="0.35">
      <c r="A89" s="2" t="s">
        <v>95</v>
      </c>
      <c r="B89" s="2" t="s">
        <v>164</v>
      </c>
      <c r="C89" s="2" t="s">
        <v>169</v>
      </c>
      <c r="D89" s="2" t="s">
        <v>343</v>
      </c>
      <c r="E89" s="22">
        <v>33483</v>
      </c>
      <c r="F89" s="22" t="str">
        <f t="shared" si="1"/>
        <v>33483</v>
      </c>
      <c r="G89" s="22">
        <v>33483</v>
      </c>
      <c r="H89" s="20">
        <v>42610</v>
      </c>
      <c r="I89" s="17">
        <v>4</v>
      </c>
      <c r="J89" s="2" t="s">
        <v>180</v>
      </c>
      <c r="K89" s="2" t="s">
        <v>250</v>
      </c>
    </row>
    <row r="90" spans="1:11" x14ac:dyDescent="0.35">
      <c r="A90" s="2" t="s">
        <v>96</v>
      </c>
      <c r="B90" s="2" t="s">
        <v>163</v>
      </c>
      <c r="C90" s="2" t="s">
        <v>167</v>
      </c>
      <c r="D90" s="2" t="s">
        <v>341</v>
      </c>
      <c r="E90" s="22">
        <v>55303</v>
      </c>
      <c r="F90" s="22" t="str">
        <f t="shared" si="1"/>
        <v>55303</v>
      </c>
      <c r="G90" s="22">
        <v>55303</v>
      </c>
      <c r="H90" s="20">
        <v>42617</v>
      </c>
      <c r="I90" s="17">
        <v>4</v>
      </c>
      <c r="J90" s="2" t="s">
        <v>180</v>
      </c>
      <c r="K90" s="2" t="s">
        <v>203</v>
      </c>
    </row>
    <row r="91" spans="1:11" x14ac:dyDescent="0.35">
      <c r="A91" s="2" t="s">
        <v>97</v>
      </c>
      <c r="B91" s="2" t="s">
        <v>164</v>
      </c>
      <c r="C91" s="2" t="s">
        <v>169</v>
      </c>
      <c r="D91" s="2" t="s">
        <v>340</v>
      </c>
      <c r="E91" s="22">
        <v>63434</v>
      </c>
      <c r="F91" s="22" t="str">
        <f t="shared" si="1"/>
        <v>63434</v>
      </c>
      <c r="G91" s="22">
        <v>63434</v>
      </c>
      <c r="H91" s="20">
        <v>42624</v>
      </c>
      <c r="I91" s="17">
        <v>3</v>
      </c>
      <c r="J91" s="2" t="s">
        <v>178</v>
      </c>
      <c r="K91" s="2" t="s">
        <v>251</v>
      </c>
    </row>
    <row r="92" spans="1:11" x14ac:dyDescent="0.35">
      <c r="A92" s="2" t="s">
        <v>98</v>
      </c>
      <c r="B92" s="2" t="s">
        <v>162</v>
      </c>
      <c r="C92" s="2" t="s">
        <v>338</v>
      </c>
      <c r="D92" s="2" t="s">
        <v>345</v>
      </c>
      <c r="E92" s="22">
        <v>38830</v>
      </c>
      <c r="F92" s="22" t="str">
        <f t="shared" si="1"/>
        <v>38830</v>
      </c>
      <c r="G92" s="22">
        <v>38830</v>
      </c>
      <c r="H92" s="20">
        <v>42631</v>
      </c>
      <c r="I92" s="17">
        <v>3</v>
      </c>
      <c r="J92" s="2" t="s">
        <v>179</v>
      </c>
      <c r="K92" s="2" t="s">
        <v>203</v>
      </c>
    </row>
    <row r="93" spans="1:11" x14ac:dyDescent="0.35">
      <c r="A93" s="2" t="s">
        <v>99</v>
      </c>
      <c r="B93" s="2" t="s">
        <v>178</v>
      </c>
      <c r="C93" s="2" t="s">
        <v>337</v>
      </c>
      <c r="D93" s="2" t="s">
        <v>344</v>
      </c>
      <c r="E93" s="22">
        <v>50741</v>
      </c>
      <c r="F93" s="22" t="str">
        <f t="shared" si="1"/>
        <v>50741</v>
      </c>
      <c r="G93" s="22">
        <v>50741</v>
      </c>
      <c r="H93" s="20">
        <v>42638</v>
      </c>
      <c r="I93" s="17">
        <v>3</v>
      </c>
      <c r="J93" s="2" t="s">
        <v>178</v>
      </c>
      <c r="K93" s="2" t="s">
        <v>240</v>
      </c>
    </row>
    <row r="94" spans="1:11" x14ac:dyDescent="0.35">
      <c r="A94" s="2" t="s">
        <v>100</v>
      </c>
      <c r="B94" s="2" t="s">
        <v>160</v>
      </c>
      <c r="C94" s="2" t="s">
        <v>167</v>
      </c>
      <c r="D94" s="2" t="s">
        <v>345</v>
      </c>
      <c r="E94" s="22">
        <v>69420</v>
      </c>
      <c r="F94" s="22" t="str">
        <f t="shared" si="1"/>
        <v>69420</v>
      </c>
      <c r="G94" s="22">
        <v>69420</v>
      </c>
      <c r="H94" s="20">
        <v>42645</v>
      </c>
      <c r="I94" s="17">
        <v>1</v>
      </c>
      <c r="J94" s="2" t="s">
        <v>180</v>
      </c>
      <c r="K94" s="2" t="s">
        <v>225</v>
      </c>
    </row>
    <row r="95" spans="1:11" x14ac:dyDescent="0.35">
      <c r="A95" s="2" t="s">
        <v>101</v>
      </c>
      <c r="B95" s="2" t="s">
        <v>162</v>
      </c>
      <c r="C95" s="2" t="s">
        <v>169</v>
      </c>
      <c r="D95" s="2" t="s">
        <v>340</v>
      </c>
      <c r="E95" s="22">
        <v>80588</v>
      </c>
      <c r="F95" s="22" t="str">
        <f t="shared" si="1"/>
        <v>80588</v>
      </c>
      <c r="G95" s="22">
        <v>80588</v>
      </c>
      <c r="H95" s="20">
        <v>42652</v>
      </c>
      <c r="I95" s="17">
        <v>5</v>
      </c>
      <c r="J95" s="2" t="s">
        <v>180</v>
      </c>
      <c r="K95" s="2" t="s">
        <v>216</v>
      </c>
    </row>
    <row r="96" spans="1:11" x14ac:dyDescent="0.35">
      <c r="A96" s="2" t="s">
        <v>102</v>
      </c>
      <c r="B96" s="2" t="s">
        <v>160</v>
      </c>
      <c r="C96" s="2" t="s">
        <v>338</v>
      </c>
      <c r="D96" s="2" t="s">
        <v>342</v>
      </c>
      <c r="E96" s="22">
        <v>76238</v>
      </c>
      <c r="F96" s="22" t="str">
        <f t="shared" si="1"/>
        <v>76238</v>
      </c>
      <c r="G96" s="22">
        <v>76238</v>
      </c>
      <c r="H96" s="20">
        <v>42659</v>
      </c>
      <c r="I96" s="17">
        <v>4</v>
      </c>
      <c r="J96" s="2" t="s">
        <v>180</v>
      </c>
      <c r="K96" s="2" t="s">
        <v>252</v>
      </c>
    </row>
    <row r="97" spans="1:11" x14ac:dyDescent="0.35">
      <c r="A97" s="2" t="s">
        <v>103</v>
      </c>
      <c r="B97" s="2" t="s">
        <v>165</v>
      </c>
      <c r="C97" s="2" t="s">
        <v>169</v>
      </c>
      <c r="D97" s="2" t="s">
        <v>343</v>
      </c>
      <c r="E97" s="22">
        <v>33264</v>
      </c>
      <c r="F97" s="22" t="str">
        <f t="shared" si="1"/>
        <v>33264</v>
      </c>
      <c r="G97" s="22">
        <v>33264</v>
      </c>
      <c r="H97" s="20">
        <v>42666</v>
      </c>
      <c r="I97" s="17">
        <v>3</v>
      </c>
      <c r="J97" s="2" t="s">
        <v>181</v>
      </c>
      <c r="K97" s="2" t="s">
        <v>253</v>
      </c>
    </row>
    <row r="98" spans="1:11" x14ac:dyDescent="0.35">
      <c r="A98" s="2" t="s">
        <v>104</v>
      </c>
      <c r="B98" s="2" t="s">
        <v>160</v>
      </c>
      <c r="C98" s="2" t="s">
        <v>335</v>
      </c>
      <c r="D98" s="2" t="s">
        <v>345</v>
      </c>
      <c r="E98" s="22">
        <v>96101</v>
      </c>
      <c r="F98" s="22" t="str">
        <f t="shared" si="1"/>
        <v>96101</v>
      </c>
      <c r="G98" s="22">
        <v>96101</v>
      </c>
      <c r="H98" s="20">
        <v>42673</v>
      </c>
      <c r="I98" s="17">
        <v>3</v>
      </c>
      <c r="J98" s="2" t="s">
        <v>179</v>
      </c>
      <c r="K98" s="2" t="s">
        <v>254</v>
      </c>
    </row>
    <row r="99" spans="1:11" x14ac:dyDescent="0.35">
      <c r="A99" s="2" t="s">
        <v>105</v>
      </c>
      <c r="B99" s="2" t="s">
        <v>162</v>
      </c>
      <c r="C99" s="2" t="s">
        <v>335</v>
      </c>
      <c r="D99" s="2" t="s">
        <v>342</v>
      </c>
      <c r="E99" s="22">
        <v>72939</v>
      </c>
      <c r="F99" s="22" t="str">
        <f t="shared" si="1"/>
        <v>72939</v>
      </c>
      <c r="G99" s="22">
        <v>72939</v>
      </c>
      <c r="H99" s="20">
        <v>42680</v>
      </c>
      <c r="I99" s="17">
        <v>3</v>
      </c>
      <c r="J99" s="2" t="s">
        <v>178</v>
      </c>
      <c r="K99" s="2" t="s">
        <v>255</v>
      </c>
    </row>
    <row r="100" spans="1:11" x14ac:dyDescent="0.35">
      <c r="A100" s="2" t="s">
        <v>106</v>
      </c>
      <c r="B100" s="2" t="s">
        <v>163</v>
      </c>
      <c r="C100" s="2" t="s">
        <v>167</v>
      </c>
      <c r="D100" s="2" t="s">
        <v>341</v>
      </c>
      <c r="E100" s="22">
        <v>89333</v>
      </c>
      <c r="F100" s="22" t="str">
        <f t="shared" si="1"/>
        <v>89333</v>
      </c>
      <c r="G100" s="22">
        <v>89333</v>
      </c>
      <c r="H100" s="20">
        <v>42687</v>
      </c>
      <c r="I100" s="17">
        <v>1</v>
      </c>
      <c r="J100" s="2" t="s">
        <v>180</v>
      </c>
      <c r="K100" s="2" t="s">
        <v>256</v>
      </c>
    </row>
    <row r="101" spans="1:11" x14ac:dyDescent="0.35">
      <c r="A101" s="2" t="s">
        <v>107</v>
      </c>
      <c r="B101" s="2" t="s">
        <v>165</v>
      </c>
      <c r="C101" s="2" t="s">
        <v>169</v>
      </c>
      <c r="D101" s="2" t="s">
        <v>345</v>
      </c>
      <c r="E101" s="22">
        <v>70470</v>
      </c>
      <c r="F101" s="22" t="str">
        <f t="shared" si="1"/>
        <v>70470</v>
      </c>
      <c r="G101" s="22">
        <v>70470</v>
      </c>
      <c r="H101" s="20">
        <v>42694</v>
      </c>
      <c r="I101" s="17">
        <v>3</v>
      </c>
      <c r="J101" s="2" t="s">
        <v>180</v>
      </c>
      <c r="K101" s="2" t="s">
        <v>257</v>
      </c>
    </row>
    <row r="102" spans="1:11" x14ac:dyDescent="0.35">
      <c r="A102" s="2" t="s">
        <v>108</v>
      </c>
      <c r="B102" s="2" t="s">
        <v>159</v>
      </c>
      <c r="C102" s="2" t="s">
        <v>337</v>
      </c>
      <c r="D102" s="2" t="s">
        <v>342</v>
      </c>
      <c r="E102" s="22">
        <v>70096</v>
      </c>
      <c r="F102" s="22" t="str">
        <f t="shared" si="1"/>
        <v>70096</v>
      </c>
      <c r="G102" s="22">
        <v>70096</v>
      </c>
      <c r="H102" s="20">
        <v>42701</v>
      </c>
      <c r="I102" s="17">
        <v>4</v>
      </c>
      <c r="J102" s="2" t="s">
        <v>180</v>
      </c>
      <c r="K102" s="2" t="s">
        <v>258</v>
      </c>
    </row>
    <row r="103" spans="1:11" x14ac:dyDescent="0.35">
      <c r="A103" s="2" t="s">
        <v>109</v>
      </c>
      <c r="B103" s="2" t="s">
        <v>165</v>
      </c>
      <c r="C103" s="2" t="s">
        <v>337</v>
      </c>
      <c r="D103" s="2" t="s">
        <v>340</v>
      </c>
      <c r="E103" s="22" t="s">
        <v>177</v>
      </c>
      <c r="F103" s="22" t="str">
        <f t="shared" si="1"/>
        <v>0</v>
      </c>
      <c r="G103" s="22">
        <v>63687</v>
      </c>
      <c r="H103" s="20">
        <v>42708</v>
      </c>
      <c r="I103" s="17">
        <v>2</v>
      </c>
      <c r="J103" s="2" t="s">
        <v>179</v>
      </c>
      <c r="K103" s="2" t="s">
        <v>259</v>
      </c>
    </row>
    <row r="104" spans="1:11" x14ac:dyDescent="0.35">
      <c r="A104" s="2" t="s">
        <v>110</v>
      </c>
      <c r="B104" s="2" t="s">
        <v>165</v>
      </c>
      <c r="C104" s="2" t="s">
        <v>169</v>
      </c>
      <c r="D104" s="2" t="s">
        <v>341</v>
      </c>
      <c r="E104" s="22">
        <v>66503</v>
      </c>
      <c r="F104" s="22" t="str">
        <f t="shared" si="1"/>
        <v>66503</v>
      </c>
      <c r="G104" s="22">
        <v>66503</v>
      </c>
      <c r="H104" s="20">
        <v>42715</v>
      </c>
      <c r="I104" s="17">
        <v>3</v>
      </c>
      <c r="J104" s="2" t="s">
        <v>180</v>
      </c>
      <c r="K104" s="2" t="s">
        <v>200</v>
      </c>
    </row>
    <row r="105" spans="1:11" x14ac:dyDescent="0.35">
      <c r="A105" s="2" t="s">
        <v>111</v>
      </c>
      <c r="B105" s="2" t="s">
        <v>160</v>
      </c>
      <c r="C105" s="2" t="s">
        <v>167</v>
      </c>
      <c r="D105" s="2" t="s">
        <v>341</v>
      </c>
      <c r="E105" s="22">
        <v>42096</v>
      </c>
      <c r="F105" s="22" t="str">
        <f t="shared" si="1"/>
        <v>42096</v>
      </c>
      <c r="G105" s="22">
        <v>42096</v>
      </c>
      <c r="H105" s="20">
        <v>42722</v>
      </c>
      <c r="I105" s="17">
        <v>3</v>
      </c>
      <c r="J105" s="2" t="s">
        <v>181</v>
      </c>
      <c r="K105" s="2" t="s">
        <v>260</v>
      </c>
    </row>
    <row r="106" spans="1:11" x14ac:dyDescent="0.35">
      <c r="A106" s="2" t="s">
        <v>112</v>
      </c>
      <c r="B106" s="2" t="s">
        <v>160</v>
      </c>
      <c r="C106" s="2" t="s">
        <v>337</v>
      </c>
      <c r="D106" s="2" t="s">
        <v>340</v>
      </c>
      <c r="E106" s="22">
        <v>79145</v>
      </c>
      <c r="F106" s="22" t="str">
        <f t="shared" si="1"/>
        <v>79145</v>
      </c>
      <c r="G106" s="22">
        <v>79145</v>
      </c>
      <c r="H106" s="20">
        <v>42729</v>
      </c>
      <c r="I106" s="17">
        <v>5</v>
      </c>
      <c r="J106" s="2" t="s">
        <v>179</v>
      </c>
      <c r="K106" s="2" t="s">
        <v>223</v>
      </c>
    </row>
    <row r="107" spans="1:11" x14ac:dyDescent="0.35">
      <c r="A107" s="2" t="s">
        <v>113</v>
      </c>
      <c r="B107" s="2" t="s">
        <v>162</v>
      </c>
      <c r="C107" s="2" t="s">
        <v>338</v>
      </c>
      <c r="D107" s="2" t="s">
        <v>345</v>
      </c>
      <c r="E107" s="22">
        <v>61556</v>
      </c>
      <c r="F107" s="22" t="str">
        <f t="shared" si="1"/>
        <v>61556</v>
      </c>
      <c r="G107" s="22">
        <v>61556</v>
      </c>
      <c r="H107" s="20">
        <v>42736</v>
      </c>
      <c r="I107" s="17">
        <v>1</v>
      </c>
      <c r="J107" s="2" t="s">
        <v>178</v>
      </c>
      <c r="K107" s="2" t="s">
        <v>259</v>
      </c>
    </row>
    <row r="108" spans="1:11" x14ac:dyDescent="0.35">
      <c r="A108" s="2" t="s">
        <v>114</v>
      </c>
      <c r="B108" s="2" t="s">
        <v>178</v>
      </c>
      <c r="C108" s="2" t="s">
        <v>167</v>
      </c>
      <c r="D108" s="2" t="s">
        <v>344</v>
      </c>
      <c r="E108" s="22">
        <v>87963</v>
      </c>
      <c r="F108" s="22" t="str">
        <f t="shared" si="1"/>
        <v>87963</v>
      </c>
      <c r="G108" s="22">
        <v>87963</v>
      </c>
      <c r="H108" s="20">
        <v>42743</v>
      </c>
      <c r="I108" s="17">
        <v>3</v>
      </c>
      <c r="J108" s="2" t="s">
        <v>179</v>
      </c>
      <c r="K108" s="2" t="s">
        <v>182</v>
      </c>
    </row>
    <row r="109" spans="1:11" x14ac:dyDescent="0.35">
      <c r="A109" s="2" t="s">
        <v>115</v>
      </c>
      <c r="B109" s="2" t="s">
        <v>159</v>
      </c>
      <c r="C109" s="2" t="s">
        <v>169</v>
      </c>
      <c r="D109" s="2" t="s">
        <v>340</v>
      </c>
      <c r="E109" s="22">
        <v>48325</v>
      </c>
      <c r="F109" s="22" t="str">
        <f t="shared" si="1"/>
        <v>48325</v>
      </c>
      <c r="G109" s="22">
        <v>48325</v>
      </c>
      <c r="H109" s="20">
        <v>42750</v>
      </c>
      <c r="I109" s="17">
        <v>3</v>
      </c>
      <c r="J109" s="2" t="s">
        <v>180</v>
      </c>
      <c r="K109" s="2" t="s">
        <v>261</v>
      </c>
    </row>
    <row r="110" spans="1:11" x14ac:dyDescent="0.35">
      <c r="A110" s="2" t="s">
        <v>116</v>
      </c>
      <c r="B110" s="2" t="s">
        <v>163</v>
      </c>
      <c r="C110" s="2" t="s">
        <v>337</v>
      </c>
      <c r="D110" s="2" t="s">
        <v>345</v>
      </c>
      <c r="E110" s="22">
        <v>86412</v>
      </c>
      <c r="F110" s="22" t="str">
        <f t="shared" si="1"/>
        <v>86412</v>
      </c>
      <c r="G110" s="22">
        <v>86412</v>
      </c>
      <c r="H110" s="20">
        <v>42757</v>
      </c>
      <c r="I110" s="17">
        <v>2</v>
      </c>
      <c r="J110" s="2" t="s">
        <v>181</v>
      </c>
      <c r="K110" s="2" t="s">
        <v>202</v>
      </c>
    </row>
    <row r="111" spans="1:11" x14ac:dyDescent="0.35">
      <c r="A111" s="2" t="s">
        <v>117</v>
      </c>
      <c r="B111" s="2" t="s">
        <v>163</v>
      </c>
      <c r="C111" s="2" t="s">
        <v>167</v>
      </c>
      <c r="D111" s="2" t="s">
        <v>340</v>
      </c>
      <c r="E111" s="22">
        <v>66761</v>
      </c>
      <c r="F111" s="22" t="str">
        <f t="shared" si="1"/>
        <v>66761</v>
      </c>
      <c r="G111" s="22">
        <v>66761</v>
      </c>
      <c r="H111" s="20">
        <v>42764</v>
      </c>
      <c r="I111" s="17">
        <v>1</v>
      </c>
      <c r="J111" s="2" t="s">
        <v>178</v>
      </c>
      <c r="K111" s="2" t="s">
        <v>262</v>
      </c>
    </row>
    <row r="112" spans="1:11" x14ac:dyDescent="0.35">
      <c r="A112" s="2" t="s">
        <v>118</v>
      </c>
      <c r="B112" s="2" t="s">
        <v>162</v>
      </c>
      <c r="C112" s="2" t="s">
        <v>338</v>
      </c>
      <c r="D112" s="2" t="s">
        <v>343</v>
      </c>
      <c r="E112" s="22">
        <v>88850</v>
      </c>
      <c r="F112" s="22" t="str">
        <f t="shared" si="1"/>
        <v>88850</v>
      </c>
      <c r="G112" s="22">
        <v>88850</v>
      </c>
      <c r="H112" s="20">
        <v>42771</v>
      </c>
      <c r="I112" s="17">
        <v>1</v>
      </c>
      <c r="J112" s="2" t="s">
        <v>181</v>
      </c>
      <c r="K112" s="2" t="s">
        <v>263</v>
      </c>
    </row>
    <row r="113" spans="1:11" x14ac:dyDescent="0.35">
      <c r="A113" s="2" t="s">
        <v>119</v>
      </c>
      <c r="B113" s="2" t="s">
        <v>164</v>
      </c>
      <c r="C113" s="2" t="s">
        <v>336</v>
      </c>
      <c r="D113" s="2" t="s">
        <v>343</v>
      </c>
      <c r="E113" s="22">
        <v>31293</v>
      </c>
      <c r="F113" s="22" t="str">
        <f t="shared" si="1"/>
        <v>31293</v>
      </c>
      <c r="G113" s="22">
        <v>31293</v>
      </c>
      <c r="H113" s="20" t="s">
        <v>178</v>
      </c>
      <c r="I113" s="17">
        <v>2</v>
      </c>
      <c r="J113" s="2" t="s">
        <v>181</v>
      </c>
      <c r="K113" s="2" t="s">
        <v>264</v>
      </c>
    </row>
    <row r="114" spans="1:11" x14ac:dyDescent="0.35">
      <c r="A114" s="2" t="s">
        <v>120</v>
      </c>
      <c r="B114" s="2" t="s">
        <v>164</v>
      </c>
      <c r="C114" s="2" t="s">
        <v>169</v>
      </c>
      <c r="D114" s="2" t="s">
        <v>342</v>
      </c>
      <c r="E114" s="22">
        <v>34306</v>
      </c>
      <c r="F114" s="22" t="str">
        <f t="shared" si="1"/>
        <v>34306</v>
      </c>
      <c r="G114" s="22">
        <v>34306</v>
      </c>
      <c r="H114" s="20">
        <v>42785</v>
      </c>
      <c r="I114" s="17">
        <v>5</v>
      </c>
      <c r="J114" s="2" t="s">
        <v>181</v>
      </c>
      <c r="K114" s="2" t="s">
        <v>239</v>
      </c>
    </row>
    <row r="115" spans="1:11" x14ac:dyDescent="0.35">
      <c r="A115" s="2" t="s">
        <v>121</v>
      </c>
      <c r="B115" s="2" t="s">
        <v>159</v>
      </c>
      <c r="C115" s="2" t="s">
        <v>335</v>
      </c>
      <c r="D115" s="2" t="s">
        <v>343</v>
      </c>
      <c r="E115" s="22">
        <v>78330</v>
      </c>
      <c r="F115" s="22" t="str">
        <f t="shared" si="1"/>
        <v>78330</v>
      </c>
      <c r="G115" s="22">
        <v>78330</v>
      </c>
      <c r="H115" s="20">
        <v>42792</v>
      </c>
      <c r="I115" s="17">
        <v>3</v>
      </c>
      <c r="J115" s="2" t="s">
        <v>179</v>
      </c>
      <c r="K115" s="2" t="s">
        <v>258</v>
      </c>
    </row>
    <row r="116" spans="1:11" x14ac:dyDescent="0.35">
      <c r="A116" s="2" t="s">
        <v>122</v>
      </c>
      <c r="B116" s="2" t="s">
        <v>160</v>
      </c>
      <c r="C116" s="2" t="s">
        <v>169</v>
      </c>
      <c r="D116" s="2" t="s">
        <v>342</v>
      </c>
      <c r="E116" s="22">
        <v>47653</v>
      </c>
      <c r="F116" s="22" t="str">
        <f t="shared" si="1"/>
        <v>47653</v>
      </c>
      <c r="G116" s="22">
        <v>47653</v>
      </c>
      <c r="H116" s="20">
        <v>42799</v>
      </c>
      <c r="I116" s="17">
        <v>1</v>
      </c>
      <c r="J116" s="2" t="s">
        <v>180</v>
      </c>
      <c r="K116" s="2" t="s">
        <v>265</v>
      </c>
    </row>
    <row r="117" spans="1:11" x14ac:dyDescent="0.35">
      <c r="A117" s="2" t="s">
        <v>123</v>
      </c>
      <c r="B117" s="2" t="s">
        <v>159</v>
      </c>
      <c r="C117" s="2" t="s">
        <v>337</v>
      </c>
      <c r="D117" s="2" t="s">
        <v>344</v>
      </c>
      <c r="E117" s="22">
        <v>44627</v>
      </c>
      <c r="F117" s="22" t="str">
        <f t="shared" si="1"/>
        <v>44627</v>
      </c>
      <c r="G117" s="22">
        <v>44627</v>
      </c>
      <c r="H117" s="20">
        <v>42806</v>
      </c>
      <c r="I117" s="17">
        <v>4</v>
      </c>
      <c r="J117" s="2" t="s">
        <v>178</v>
      </c>
      <c r="K117" s="2" t="s">
        <v>235</v>
      </c>
    </row>
    <row r="118" spans="1:11" x14ac:dyDescent="0.35">
      <c r="A118" s="2" t="s">
        <v>124</v>
      </c>
      <c r="B118" s="2" t="s">
        <v>165</v>
      </c>
      <c r="C118" s="2" t="s">
        <v>167</v>
      </c>
      <c r="D118" s="2" t="s">
        <v>341</v>
      </c>
      <c r="E118" s="22">
        <v>92343</v>
      </c>
      <c r="F118" s="22" t="str">
        <f t="shared" si="1"/>
        <v>92343</v>
      </c>
      <c r="G118" s="22">
        <v>92343</v>
      </c>
      <c r="H118" s="20">
        <v>42813</v>
      </c>
      <c r="I118" s="17">
        <v>4</v>
      </c>
      <c r="J118" s="2" t="s">
        <v>181</v>
      </c>
      <c r="K118" s="2" t="s">
        <v>203</v>
      </c>
    </row>
    <row r="119" spans="1:11" x14ac:dyDescent="0.35">
      <c r="A119" s="2" t="s">
        <v>125</v>
      </c>
      <c r="B119" s="2" t="s">
        <v>165</v>
      </c>
      <c r="C119" s="2" t="s">
        <v>337</v>
      </c>
      <c r="D119" s="2" t="s">
        <v>345</v>
      </c>
      <c r="E119" s="22">
        <v>38837</v>
      </c>
      <c r="F119" s="22" t="str">
        <f t="shared" si="1"/>
        <v>38837</v>
      </c>
      <c r="G119" s="22">
        <v>38837</v>
      </c>
      <c r="H119" s="20">
        <v>42820</v>
      </c>
      <c r="I119" s="17">
        <v>5</v>
      </c>
      <c r="J119" s="2" t="s">
        <v>181</v>
      </c>
      <c r="K119" s="2" t="s">
        <v>239</v>
      </c>
    </row>
    <row r="120" spans="1:11" x14ac:dyDescent="0.35">
      <c r="A120" s="2" t="s">
        <v>126</v>
      </c>
      <c r="B120" s="2" t="s">
        <v>165</v>
      </c>
      <c r="C120" s="2" t="s">
        <v>337</v>
      </c>
      <c r="D120" s="2" t="s">
        <v>340</v>
      </c>
      <c r="E120" s="22">
        <v>73483</v>
      </c>
      <c r="F120" s="22" t="str">
        <f t="shared" si="1"/>
        <v>73483</v>
      </c>
      <c r="G120" s="22">
        <v>73483</v>
      </c>
      <c r="H120" s="20">
        <v>42827</v>
      </c>
      <c r="I120" s="17">
        <v>1</v>
      </c>
      <c r="J120" s="2" t="s">
        <v>178</v>
      </c>
      <c r="K120" s="2" t="s">
        <v>266</v>
      </c>
    </row>
    <row r="121" spans="1:11" x14ac:dyDescent="0.35">
      <c r="A121" s="2" t="s">
        <v>127</v>
      </c>
      <c r="B121" s="2" t="s">
        <v>164</v>
      </c>
      <c r="C121" s="2" t="s">
        <v>336</v>
      </c>
      <c r="D121" s="2" t="s">
        <v>343</v>
      </c>
      <c r="E121" s="22">
        <v>95032</v>
      </c>
      <c r="F121" s="22" t="str">
        <f t="shared" si="1"/>
        <v>95032</v>
      </c>
      <c r="G121" s="22">
        <v>95032</v>
      </c>
      <c r="H121" s="20">
        <v>42834</v>
      </c>
      <c r="I121" s="17">
        <v>3</v>
      </c>
      <c r="J121" s="2" t="s">
        <v>178</v>
      </c>
      <c r="K121" s="2" t="s">
        <v>267</v>
      </c>
    </row>
    <row r="122" spans="1:11" x14ac:dyDescent="0.35">
      <c r="A122" s="2" t="s">
        <v>128</v>
      </c>
      <c r="B122" s="2" t="s">
        <v>159</v>
      </c>
      <c r="C122" s="2" t="s">
        <v>336</v>
      </c>
      <c r="D122" s="2" t="s">
        <v>345</v>
      </c>
      <c r="E122" s="22">
        <v>44358</v>
      </c>
      <c r="F122" s="22" t="str">
        <f t="shared" si="1"/>
        <v>44358</v>
      </c>
      <c r="G122" s="22">
        <v>44358</v>
      </c>
      <c r="H122" s="20">
        <v>42841</v>
      </c>
      <c r="I122" s="17">
        <v>3</v>
      </c>
      <c r="J122" s="2" t="s">
        <v>181</v>
      </c>
      <c r="K122" s="2" t="s">
        <v>200</v>
      </c>
    </row>
    <row r="123" spans="1:11" x14ac:dyDescent="0.35">
      <c r="A123" s="2" t="s">
        <v>129</v>
      </c>
      <c r="B123" s="2" t="s">
        <v>178</v>
      </c>
      <c r="C123" s="2" t="s">
        <v>169</v>
      </c>
      <c r="D123" s="2" t="s">
        <v>342</v>
      </c>
      <c r="E123" s="22" t="s">
        <v>177</v>
      </c>
      <c r="F123" s="22" t="str">
        <f t="shared" si="1"/>
        <v>0</v>
      </c>
      <c r="G123" s="22">
        <v>66158</v>
      </c>
      <c r="H123" s="20" t="s">
        <v>178</v>
      </c>
      <c r="I123" s="17">
        <v>5</v>
      </c>
      <c r="J123" s="2" t="s">
        <v>178</v>
      </c>
      <c r="K123" s="2" t="s">
        <v>268</v>
      </c>
    </row>
    <row r="124" spans="1:11" x14ac:dyDescent="0.35">
      <c r="A124" s="2" t="s">
        <v>130</v>
      </c>
      <c r="B124" s="2" t="s">
        <v>164</v>
      </c>
      <c r="C124" s="2" t="s">
        <v>336</v>
      </c>
      <c r="D124" s="2" t="s">
        <v>342</v>
      </c>
      <c r="E124" s="22">
        <v>45676</v>
      </c>
      <c r="F124" s="22" t="str">
        <f t="shared" si="1"/>
        <v>45676</v>
      </c>
      <c r="G124" s="22">
        <v>45676</v>
      </c>
      <c r="H124" s="20">
        <v>42855</v>
      </c>
      <c r="I124" s="17">
        <v>2</v>
      </c>
      <c r="J124" s="2" t="s">
        <v>178</v>
      </c>
      <c r="K124" s="2" t="s">
        <v>269</v>
      </c>
    </row>
    <row r="125" spans="1:11" x14ac:dyDescent="0.35">
      <c r="A125" s="2" t="s">
        <v>131</v>
      </c>
      <c r="B125" s="2" t="s">
        <v>165</v>
      </c>
      <c r="C125" s="2" t="s">
        <v>336</v>
      </c>
      <c r="D125" s="2" t="s">
        <v>341</v>
      </c>
      <c r="E125" s="22">
        <v>52036</v>
      </c>
      <c r="F125" s="22" t="str">
        <f t="shared" si="1"/>
        <v>52036</v>
      </c>
      <c r="G125" s="22">
        <v>52036</v>
      </c>
      <c r="H125" s="20">
        <v>42862</v>
      </c>
      <c r="I125" s="17">
        <v>3</v>
      </c>
      <c r="J125" s="2" t="s">
        <v>180</v>
      </c>
      <c r="K125" s="2" t="s">
        <v>270</v>
      </c>
    </row>
    <row r="126" spans="1:11" x14ac:dyDescent="0.35">
      <c r="A126" s="2" t="s">
        <v>132</v>
      </c>
      <c r="B126" s="2" t="s">
        <v>162</v>
      </c>
      <c r="C126" s="2" t="s">
        <v>338</v>
      </c>
      <c r="D126" s="2" t="s">
        <v>341</v>
      </c>
      <c r="E126" s="22">
        <v>30357</v>
      </c>
      <c r="F126" s="22" t="str">
        <f t="shared" si="1"/>
        <v>30357</v>
      </c>
      <c r="G126" s="22">
        <v>30357</v>
      </c>
      <c r="H126" s="20">
        <v>42869</v>
      </c>
      <c r="I126" s="17">
        <v>5</v>
      </c>
      <c r="J126" s="2" t="s">
        <v>180</v>
      </c>
      <c r="K126" s="2" t="s">
        <v>248</v>
      </c>
    </row>
    <row r="127" spans="1:11" x14ac:dyDescent="0.35">
      <c r="A127" s="2" t="s">
        <v>133</v>
      </c>
      <c r="B127" s="2" t="s">
        <v>161</v>
      </c>
      <c r="C127" s="2" t="s">
        <v>169</v>
      </c>
      <c r="D127" s="2" t="s">
        <v>340</v>
      </c>
      <c r="E127" s="22">
        <v>60034</v>
      </c>
      <c r="F127" s="22" t="str">
        <f t="shared" si="1"/>
        <v>60034</v>
      </c>
      <c r="G127" s="22">
        <v>60034</v>
      </c>
      <c r="H127" s="20">
        <v>42876</v>
      </c>
      <c r="I127" s="17">
        <v>1</v>
      </c>
      <c r="J127" s="2" t="s">
        <v>181</v>
      </c>
      <c r="K127" s="2" t="s">
        <v>271</v>
      </c>
    </row>
    <row r="128" spans="1:11" x14ac:dyDescent="0.35">
      <c r="A128" s="2" t="s">
        <v>134</v>
      </c>
      <c r="B128" s="2" t="s">
        <v>161</v>
      </c>
      <c r="C128" s="2" t="s">
        <v>335</v>
      </c>
      <c r="D128" s="2" t="s">
        <v>340</v>
      </c>
      <c r="E128" s="22">
        <v>90019</v>
      </c>
      <c r="F128" s="22" t="str">
        <f t="shared" si="1"/>
        <v>90019</v>
      </c>
      <c r="G128" s="22">
        <v>90019</v>
      </c>
      <c r="H128" s="20">
        <v>42883</v>
      </c>
      <c r="I128" s="17">
        <v>5</v>
      </c>
      <c r="J128" s="2" t="s">
        <v>178</v>
      </c>
      <c r="K128" s="2" t="s">
        <v>272</v>
      </c>
    </row>
    <row r="129" spans="1:11" x14ac:dyDescent="0.35">
      <c r="A129" s="2" t="s">
        <v>135</v>
      </c>
      <c r="B129" s="2" t="s">
        <v>165</v>
      </c>
      <c r="C129" s="2" t="s">
        <v>338</v>
      </c>
      <c r="D129" s="2" t="s">
        <v>341</v>
      </c>
      <c r="E129" s="22">
        <v>71494</v>
      </c>
      <c r="F129" s="22" t="str">
        <f t="shared" si="1"/>
        <v>71494</v>
      </c>
      <c r="G129" s="22">
        <v>71494</v>
      </c>
      <c r="H129" s="20">
        <v>42890</v>
      </c>
      <c r="I129" s="17">
        <v>3</v>
      </c>
      <c r="J129" s="2" t="s">
        <v>180</v>
      </c>
      <c r="K129" s="2" t="s">
        <v>273</v>
      </c>
    </row>
    <row r="130" spans="1:11" x14ac:dyDescent="0.35">
      <c r="A130" s="2" t="s">
        <v>136</v>
      </c>
      <c r="B130" s="2" t="s">
        <v>161</v>
      </c>
      <c r="C130" s="2" t="s">
        <v>335</v>
      </c>
      <c r="D130" s="2" t="s">
        <v>342</v>
      </c>
      <c r="E130" s="22">
        <v>91953</v>
      </c>
      <c r="F130" s="22" t="str">
        <f t="shared" si="1"/>
        <v>91953</v>
      </c>
      <c r="G130" s="22">
        <v>91953</v>
      </c>
      <c r="H130" s="20">
        <v>42897</v>
      </c>
      <c r="I130" s="17">
        <v>2</v>
      </c>
      <c r="J130" s="2" t="s">
        <v>180</v>
      </c>
      <c r="K130" s="2" t="s">
        <v>209</v>
      </c>
    </row>
    <row r="131" spans="1:11" x14ac:dyDescent="0.35">
      <c r="A131" s="2" t="s">
        <v>137</v>
      </c>
      <c r="B131" s="2" t="s">
        <v>164</v>
      </c>
      <c r="C131" s="2" t="s">
        <v>336</v>
      </c>
      <c r="D131" s="2" t="s">
        <v>342</v>
      </c>
      <c r="E131" s="22">
        <v>30402</v>
      </c>
      <c r="F131" s="22" t="str">
        <f t="shared" si="1"/>
        <v>30402</v>
      </c>
      <c r="G131" s="22">
        <v>30402</v>
      </c>
      <c r="H131" s="20">
        <v>42904</v>
      </c>
      <c r="I131" s="17">
        <v>1</v>
      </c>
      <c r="J131" s="2" t="s">
        <v>178</v>
      </c>
      <c r="K131" s="2" t="s">
        <v>274</v>
      </c>
    </row>
    <row r="132" spans="1:11" x14ac:dyDescent="0.35">
      <c r="A132" s="2" t="s">
        <v>138</v>
      </c>
      <c r="B132" s="2" t="s">
        <v>165</v>
      </c>
      <c r="C132" s="2" t="s">
        <v>338</v>
      </c>
      <c r="D132" s="2" t="s">
        <v>344</v>
      </c>
      <c r="E132" s="22">
        <v>62994</v>
      </c>
      <c r="F132" s="22" t="str">
        <f t="shared" ref="F132:F152" si="2">SUBSTITUTE(E132,"N/A","0")</f>
        <v>62994</v>
      </c>
      <c r="G132" s="22">
        <v>62994</v>
      </c>
      <c r="H132" s="20">
        <v>42911</v>
      </c>
      <c r="I132" s="17">
        <v>3</v>
      </c>
      <c r="J132" s="2" t="s">
        <v>178</v>
      </c>
      <c r="K132" s="2" t="s">
        <v>221</v>
      </c>
    </row>
    <row r="133" spans="1:11" x14ac:dyDescent="0.35">
      <c r="A133" s="2" t="s">
        <v>139</v>
      </c>
      <c r="B133" s="2" t="s">
        <v>160</v>
      </c>
      <c r="C133" s="2" t="s">
        <v>336</v>
      </c>
      <c r="D133" s="2" t="s">
        <v>343</v>
      </c>
      <c r="E133" s="22">
        <v>48289</v>
      </c>
      <c r="F133" s="22" t="str">
        <f t="shared" si="2"/>
        <v>48289</v>
      </c>
      <c r="G133" s="22">
        <v>48289</v>
      </c>
      <c r="H133" s="20" t="s">
        <v>178</v>
      </c>
      <c r="I133" s="17">
        <v>3</v>
      </c>
      <c r="J133" s="2" t="s">
        <v>180</v>
      </c>
      <c r="K133" s="2" t="s">
        <v>189</v>
      </c>
    </row>
    <row r="134" spans="1:11" x14ac:dyDescent="0.35">
      <c r="A134" s="2" t="s">
        <v>140</v>
      </c>
      <c r="B134" s="2" t="s">
        <v>163</v>
      </c>
      <c r="C134" s="2" t="s">
        <v>337</v>
      </c>
      <c r="D134" s="2" t="s">
        <v>341</v>
      </c>
      <c r="E134" s="22">
        <v>34402</v>
      </c>
      <c r="F134" s="22" t="str">
        <f t="shared" si="2"/>
        <v>34402</v>
      </c>
      <c r="G134" s="22">
        <v>34402</v>
      </c>
      <c r="H134" s="20">
        <v>42925</v>
      </c>
      <c r="I134" s="17">
        <v>3</v>
      </c>
      <c r="J134" s="2" t="s">
        <v>179</v>
      </c>
      <c r="K134" s="2" t="s">
        <v>218</v>
      </c>
    </row>
    <row r="135" spans="1:11" x14ac:dyDescent="0.35">
      <c r="A135" s="2" t="s">
        <v>141</v>
      </c>
      <c r="B135" s="2" t="s">
        <v>159</v>
      </c>
      <c r="C135" s="2" t="s">
        <v>167</v>
      </c>
      <c r="D135" s="2" t="s">
        <v>342</v>
      </c>
      <c r="E135" s="22">
        <v>38678</v>
      </c>
      <c r="F135" s="22" t="str">
        <f t="shared" si="2"/>
        <v>38678</v>
      </c>
      <c r="G135" s="22">
        <v>38678</v>
      </c>
      <c r="H135" s="20">
        <v>42932</v>
      </c>
      <c r="I135" s="17">
        <v>3</v>
      </c>
      <c r="J135" s="2" t="s">
        <v>179</v>
      </c>
      <c r="K135" s="2" t="s">
        <v>275</v>
      </c>
    </row>
    <row r="136" spans="1:11" x14ac:dyDescent="0.35">
      <c r="A136" s="2" t="s">
        <v>142</v>
      </c>
      <c r="B136" s="2" t="s">
        <v>164</v>
      </c>
      <c r="C136" s="2" t="s">
        <v>167</v>
      </c>
      <c r="D136" s="2" t="s">
        <v>341</v>
      </c>
      <c r="E136" s="22">
        <v>45758</v>
      </c>
      <c r="F136" s="22" t="str">
        <f t="shared" si="2"/>
        <v>45758</v>
      </c>
      <c r="G136" s="22">
        <v>45758</v>
      </c>
      <c r="H136" s="20">
        <v>42939</v>
      </c>
      <c r="I136" s="17">
        <v>3</v>
      </c>
      <c r="J136" s="2" t="s">
        <v>178</v>
      </c>
      <c r="K136" s="2" t="s">
        <v>264</v>
      </c>
    </row>
    <row r="137" spans="1:11" x14ac:dyDescent="0.35">
      <c r="A137" s="2" t="s">
        <v>143</v>
      </c>
      <c r="B137" s="2" t="s">
        <v>159</v>
      </c>
      <c r="C137" s="2" t="s">
        <v>337</v>
      </c>
      <c r="D137" s="2" t="s">
        <v>343</v>
      </c>
      <c r="E137" s="22">
        <v>62476</v>
      </c>
      <c r="F137" s="22" t="str">
        <f t="shared" si="2"/>
        <v>62476</v>
      </c>
      <c r="G137" s="22">
        <v>62476</v>
      </c>
      <c r="H137" s="20">
        <v>42946</v>
      </c>
      <c r="I137" s="17">
        <v>1</v>
      </c>
      <c r="J137" s="2" t="s">
        <v>179</v>
      </c>
      <c r="K137" s="2" t="s">
        <v>231</v>
      </c>
    </row>
    <row r="138" spans="1:11" x14ac:dyDescent="0.35">
      <c r="A138" s="2" t="s">
        <v>144</v>
      </c>
      <c r="B138" s="2" t="s">
        <v>178</v>
      </c>
      <c r="C138" s="2" t="s">
        <v>169</v>
      </c>
      <c r="D138" s="2" t="s">
        <v>344</v>
      </c>
      <c r="E138" s="22">
        <v>39280</v>
      </c>
      <c r="F138" s="22" t="str">
        <f t="shared" si="2"/>
        <v>39280</v>
      </c>
      <c r="G138" s="22">
        <v>39280</v>
      </c>
      <c r="H138" s="20">
        <v>42953</v>
      </c>
      <c r="I138" s="17">
        <v>3</v>
      </c>
      <c r="J138" s="2" t="s">
        <v>181</v>
      </c>
      <c r="K138" s="2" t="s">
        <v>214</v>
      </c>
    </row>
    <row r="139" spans="1:11" x14ac:dyDescent="0.35">
      <c r="A139" s="2" t="s">
        <v>145</v>
      </c>
      <c r="B139" s="2" t="s">
        <v>162</v>
      </c>
      <c r="C139" s="2" t="s">
        <v>335</v>
      </c>
      <c r="D139" s="2" t="s">
        <v>343</v>
      </c>
      <c r="E139" s="22">
        <v>60335</v>
      </c>
      <c r="F139" s="22" t="str">
        <f t="shared" si="2"/>
        <v>60335</v>
      </c>
      <c r="G139" s="22">
        <v>60335</v>
      </c>
      <c r="H139" s="20">
        <v>42960</v>
      </c>
      <c r="I139" s="17">
        <v>4</v>
      </c>
      <c r="J139" s="2" t="s">
        <v>179</v>
      </c>
      <c r="K139" s="2" t="s">
        <v>227</v>
      </c>
    </row>
    <row r="140" spans="1:11" x14ac:dyDescent="0.35">
      <c r="A140" s="2" t="s">
        <v>146</v>
      </c>
      <c r="B140" s="2" t="s">
        <v>164</v>
      </c>
      <c r="C140" s="2" t="s">
        <v>167</v>
      </c>
      <c r="D140" s="2" t="s">
        <v>341</v>
      </c>
      <c r="E140" s="22">
        <v>84968</v>
      </c>
      <c r="F140" s="22" t="str">
        <f t="shared" si="2"/>
        <v>84968</v>
      </c>
      <c r="G140" s="22">
        <v>84968</v>
      </c>
      <c r="H140" s="20">
        <v>42967</v>
      </c>
      <c r="I140" s="17">
        <v>3</v>
      </c>
      <c r="J140" s="2" t="s">
        <v>178</v>
      </c>
      <c r="K140" s="2" t="s">
        <v>276</v>
      </c>
    </row>
    <row r="141" spans="1:11" x14ac:dyDescent="0.35">
      <c r="A141" s="2" t="s">
        <v>147</v>
      </c>
      <c r="B141" s="2" t="s">
        <v>164</v>
      </c>
      <c r="C141" s="2" t="s">
        <v>337</v>
      </c>
      <c r="D141" s="2" t="s">
        <v>345</v>
      </c>
      <c r="E141" s="22">
        <v>84750</v>
      </c>
      <c r="F141" s="22" t="str">
        <f t="shared" si="2"/>
        <v>84750</v>
      </c>
      <c r="G141" s="22">
        <v>84750</v>
      </c>
      <c r="H141" s="20">
        <v>42974</v>
      </c>
      <c r="I141" s="17">
        <v>4</v>
      </c>
      <c r="J141" s="2" t="s">
        <v>181</v>
      </c>
      <c r="K141" s="2" t="s">
        <v>195</v>
      </c>
    </row>
    <row r="142" spans="1:11" x14ac:dyDescent="0.35">
      <c r="A142" s="2" t="s">
        <v>148</v>
      </c>
      <c r="B142" s="2" t="s">
        <v>165</v>
      </c>
      <c r="C142" s="2" t="s">
        <v>169</v>
      </c>
      <c r="D142" s="2" t="s">
        <v>340</v>
      </c>
      <c r="E142" s="22">
        <v>73348</v>
      </c>
      <c r="F142" s="22" t="str">
        <f t="shared" si="2"/>
        <v>73348</v>
      </c>
      <c r="G142" s="22">
        <v>73348</v>
      </c>
      <c r="H142" s="20">
        <v>42981</v>
      </c>
      <c r="I142" s="17">
        <v>2</v>
      </c>
      <c r="J142" s="2" t="s">
        <v>178</v>
      </c>
      <c r="K142" s="2" t="s">
        <v>243</v>
      </c>
    </row>
    <row r="143" spans="1:11" x14ac:dyDescent="0.35">
      <c r="A143" s="2" t="s">
        <v>149</v>
      </c>
      <c r="B143" s="2" t="s">
        <v>164</v>
      </c>
      <c r="C143" s="2" t="s">
        <v>336</v>
      </c>
      <c r="D143" s="2" t="s">
        <v>342</v>
      </c>
      <c r="E143" s="22" t="s">
        <v>177</v>
      </c>
      <c r="F143" s="22" t="str">
        <f t="shared" si="2"/>
        <v>0</v>
      </c>
      <c r="G143" s="22">
        <v>67929</v>
      </c>
      <c r="H143" s="20">
        <v>42988</v>
      </c>
      <c r="I143" s="17">
        <v>4</v>
      </c>
      <c r="J143" s="2" t="s">
        <v>179</v>
      </c>
      <c r="K143" s="2" t="s">
        <v>182</v>
      </c>
    </row>
    <row r="144" spans="1:11" x14ac:dyDescent="0.35">
      <c r="A144" s="2" t="s">
        <v>150</v>
      </c>
      <c r="B144" s="2" t="s">
        <v>162</v>
      </c>
      <c r="C144" s="2" t="s">
        <v>337</v>
      </c>
      <c r="D144" s="2" t="s">
        <v>342</v>
      </c>
      <c r="E144" s="22">
        <v>66882</v>
      </c>
      <c r="F144" s="22" t="str">
        <f t="shared" si="2"/>
        <v>66882</v>
      </c>
      <c r="G144" s="22">
        <v>66882</v>
      </c>
      <c r="H144" s="20">
        <v>42995</v>
      </c>
      <c r="I144" s="17">
        <v>5</v>
      </c>
      <c r="J144" s="2" t="s">
        <v>179</v>
      </c>
      <c r="K144" s="2" t="s">
        <v>207</v>
      </c>
    </row>
    <row r="145" spans="1:11" x14ac:dyDescent="0.35">
      <c r="A145" s="2" t="s">
        <v>151</v>
      </c>
      <c r="B145" s="2" t="s">
        <v>160</v>
      </c>
      <c r="C145" s="2" t="s">
        <v>337</v>
      </c>
      <c r="D145" s="2" t="s">
        <v>340</v>
      </c>
      <c r="E145" s="22">
        <v>86775</v>
      </c>
      <c r="F145" s="22" t="str">
        <f t="shared" si="2"/>
        <v>86775</v>
      </c>
      <c r="G145" s="22">
        <v>86775</v>
      </c>
      <c r="H145" s="20">
        <v>43002</v>
      </c>
      <c r="I145" s="17">
        <v>3</v>
      </c>
      <c r="J145" s="2" t="s">
        <v>179</v>
      </c>
      <c r="K145" s="2" t="s">
        <v>212</v>
      </c>
    </row>
    <row r="146" spans="1:11" x14ac:dyDescent="0.35">
      <c r="A146" s="2" t="s">
        <v>152</v>
      </c>
      <c r="B146" s="2" t="s">
        <v>164</v>
      </c>
      <c r="C146" s="2" t="s">
        <v>336</v>
      </c>
      <c r="D146" s="2" t="s">
        <v>344</v>
      </c>
      <c r="E146" s="22">
        <v>91620</v>
      </c>
      <c r="F146" s="22" t="str">
        <f t="shared" si="2"/>
        <v>91620</v>
      </c>
      <c r="G146" s="22">
        <v>91620</v>
      </c>
      <c r="H146" s="20">
        <v>43009</v>
      </c>
      <c r="I146" s="17">
        <v>3</v>
      </c>
      <c r="J146" s="2" t="s">
        <v>178</v>
      </c>
      <c r="K146" s="2" t="s">
        <v>277</v>
      </c>
    </row>
    <row r="147" spans="1:11" x14ac:dyDescent="0.35">
      <c r="A147" s="2" t="s">
        <v>153</v>
      </c>
      <c r="B147" s="2" t="s">
        <v>159</v>
      </c>
      <c r="C147" s="2" t="s">
        <v>338</v>
      </c>
      <c r="D147" s="2" t="s">
        <v>340</v>
      </c>
      <c r="E147" s="22">
        <v>94148</v>
      </c>
      <c r="F147" s="22" t="str">
        <f t="shared" si="2"/>
        <v>94148</v>
      </c>
      <c r="G147" s="22">
        <v>94148</v>
      </c>
      <c r="H147" s="20">
        <v>43016</v>
      </c>
      <c r="I147" s="17">
        <v>2</v>
      </c>
      <c r="J147" s="2" t="s">
        <v>178</v>
      </c>
      <c r="K147" s="2" t="s">
        <v>278</v>
      </c>
    </row>
    <row r="148" spans="1:11" x14ac:dyDescent="0.35">
      <c r="A148" s="2" t="s">
        <v>154</v>
      </c>
      <c r="B148" s="2" t="s">
        <v>163</v>
      </c>
      <c r="C148" s="2" t="s">
        <v>336</v>
      </c>
      <c r="D148" s="2" t="s">
        <v>345</v>
      </c>
      <c r="E148" s="22">
        <v>35627</v>
      </c>
      <c r="F148" s="22" t="str">
        <f t="shared" si="2"/>
        <v>35627</v>
      </c>
      <c r="G148" s="22">
        <v>35627</v>
      </c>
      <c r="H148" s="20">
        <v>43023</v>
      </c>
      <c r="I148" s="17">
        <v>5</v>
      </c>
      <c r="J148" s="2" t="s">
        <v>181</v>
      </c>
      <c r="K148" s="2" t="s">
        <v>275</v>
      </c>
    </row>
    <row r="149" spans="1:11" x14ac:dyDescent="0.35">
      <c r="A149" s="2" t="s">
        <v>155</v>
      </c>
      <c r="B149" s="2" t="s">
        <v>161</v>
      </c>
      <c r="C149" s="2" t="s">
        <v>337</v>
      </c>
      <c r="D149" s="2" t="s">
        <v>342</v>
      </c>
      <c r="E149" s="22">
        <v>57141</v>
      </c>
      <c r="F149" s="22" t="str">
        <f t="shared" si="2"/>
        <v>57141</v>
      </c>
      <c r="G149" s="22">
        <v>57141</v>
      </c>
      <c r="H149" s="20">
        <v>43030</v>
      </c>
      <c r="I149" s="17">
        <v>2</v>
      </c>
      <c r="J149" s="2" t="s">
        <v>178</v>
      </c>
      <c r="K149" s="2" t="s">
        <v>276</v>
      </c>
    </row>
    <row r="150" spans="1:11" x14ac:dyDescent="0.35">
      <c r="A150" s="2" t="s">
        <v>156</v>
      </c>
      <c r="B150" s="2" t="s">
        <v>165</v>
      </c>
      <c r="C150" s="2" t="s">
        <v>336</v>
      </c>
      <c r="D150" s="2" t="s">
        <v>345</v>
      </c>
      <c r="E150" s="22">
        <v>65270</v>
      </c>
      <c r="F150" s="22" t="str">
        <f t="shared" si="2"/>
        <v>65270</v>
      </c>
      <c r="G150" s="22">
        <v>65270</v>
      </c>
      <c r="H150" s="20">
        <v>43037</v>
      </c>
      <c r="I150" s="17">
        <v>1</v>
      </c>
      <c r="J150" s="2" t="s">
        <v>178</v>
      </c>
      <c r="K150" s="2" t="s">
        <v>279</v>
      </c>
    </row>
    <row r="151" spans="1:11" x14ac:dyDescent="0.35">
      <c r="A151" s="2" t="s">
        <v>157</v>
      </c>
      <c r="B151" s="2" t="s">
        <v>165</v>
      </c>
      <c r="C151" s="2" t="s">
        <v>338</v>
      </c>
      <c r="D151" s="2" t="s">
        <v>344</v>
      </c>
      <c r="E151" s="22">
        <v>67335</v>
      </c>
      <c r="F151" s="22" t="str">
        <f t="shared" si="2"/>
        <v>67335</v>
      </c>
      <c r="G151" s="22">
        <v>67335</v>
      </c>
      <c r="H151" s="20">
        <v>43044</v>
      </c>
      <c r="I151" s="17">
        <v>1</v>
      </c>
      <c r="J151" s="2" t="s">
        <v>179</v>
      </c>
      <c r="K151" s="2" t="s">
        <v>233</v>
      </c>
    </row>
    <row r="152" spans="1:11" x14ac:dyDescent="0.35">
      <c r="A152" s="2" t="s">
        <v>158</v>
      </c>
      <c r="B152" s="2" t="s">
        <v>163</v>
      </c>
      <c r="C152" s="2" t="s">
        <v>337</v>
      </c>
      <c r="D152" s="2" t="s">
        <v>343</v>
      </c>
      <c r="E152" s="22">
        <v>98475</v>
      </c>
      <c r="F152" s="22" t="str">
        <f t="shared" si="2"/>
        <v>98475</v>
      </c>
      <c r="G152" s="22">
        <v>98475</v>
      </c>
      <c r="H152" s="20">
        <v>43051</v>
      </c>
      <c r="I152" s="17">
        <v>5</v>
      </c>
      <c r="J152" s="2" t="s">
        <v>179</v>
      </c>
      <c r="K152" s="2" t="s">
        <v>280</v>
      </c>
    </row>
    <row r="153" spans="1:11" x14ac:dyDescent="0.35">
      <c r="H153" s="21"/>
    </row>
    <row r="154" spans="1:11" x14ac:dyDescent="0.35">
      <c r="A154" s="48" t="s">
        <v>314</v>
      </c>
      <c r="B154" s="48"/>
      <c r="C154" s="48"/>
      <c r="D154" s="48"/>
      <c r="F154" s="48" t="s">
        <v>350</v>
      </c>
      <c r="G154" s="48"/>
      <c r="H154" s="48" t="s">
        <v>350</v>
      </c>
      <c r="I154" s="48"/>
    </row>
    <row r="155" spans="1:11" x14ac:dyDescent="0.35">
      <c r="A155" s="50" t="s">
        <v>4</v>
      </c>
      <c r="B155" s="51"/>
      <c r="C155" s="52" t="s">
        <v>328</v>
      </c>
      <c r="D155" s="53"/>
      <c r="F155" s="49" t="s">
        <v>4</v>
      </c>
      <c r="G155" s="49"/>
      <c r="H155" s="2" t="s">
        <v>178</v>
      </c>
      <c r="I155" s="2">
        <f>COUNTIF($J$3:$J$152,J3)</f>
        <v>49</v>
      </c>
    </row>
    <row r="156" spans="1:11" x14ac:dyDescent="0.35">
      <c r="A156" s="17" t="s">
        <v>316</v>
      </c>
      <c r="B156" s="17">
        <f>AVERAGE(G3:G152)</f>
        <v>66240.566666666666</v>
      </c>
      <c r="C156" s="19" t="s">
        <v>316</v>
      </c>
      <c r="D156" s="17">
        <f>AVERAGE(I3:I152)</f>
        <v>2.8933333333333335</v>
      </c>
      <c r="F156" s="2" t="s">
        <v>347</v>
      </c>
      <c r="G156" s="17">
        <f>COUNTIF(G3:G152,"&gt;10000")</f>
        <v>150</v>
      </c>
      <c r="H156" s="2" t="s">
        <v>179</v>
      </c>
      <c r="I156" s="2">
        <f>COUNTIF($J$3:$J$152,J4)</f>
        <v>35</v>
      </c>
    </row>
    <row r="157" spans="1:11" x14ac:dyDescent="0.35">
      <c r="A157" s="17" t="s">
        <v>323</v>
      </c>
      <c r="B157" s="17">
        <v>69341</v>
      </c>
      <c r="C157" s="19" t="s">
        <v>323</v>
      </c>
      <c r="D157" s="17">
        <v>69341</v>
      </c>
      <c r="F157" s="2" t="s">
        <v>348</v>
      </c>
      <c r="G157" s="17">
        <f>COUNTIF(G3:G152,"&gt;50000")</f>
        <v>109</v>
      </c>
      <c r="H157" s="2" t="s">
        <v>180</v>
      </c>
      <c r="I157" s="2">
        <f>COUNTIF($J$3:$J$152,J5)</f>
        <v>49</v>
      </c>
    </row>
    <row r="158" spans="1:11" x14ac:dyDescent="0.35">
      <c r="A158" s="17" t="s">
        <v>324</v>
      </c>
      <c r="B158" s="17">
        <f>MIN(G3:G152)</f>
        <v>30280</v>
      </c>
      <c r="C158" s="19" t="s">
        <v>324</v>
      </c>
      <c r="D158" s="17">
        <f>MIN(I3:I152)</f>
        <v>1</v>
      </c>
      <c r="F158" s="49" t="s">
        <v>351</v>
      </c>
      <c r="G158" s="49"/>
      <c r="H158" s="2" t="s">
        <v>181</v>
      </c>
      <c r="I158" s="2">
        <f>COUNTIF($J$3:$J$152,J6)</f>
        <v>32</v>
      </c>
    </row>
    <row r="159" spans="1:11" x14ac:dyDescent="0.35">
      <c r="A159" s="17" t="s">
        <v>325</v>
      </c>
      <c r="B159" s="17">
        <f>MAX(G3:G152)</f>
        <v>99621</v>
      </c>
      <c r="C159" s="19" t="s">
        <v>325</v>
      </c>
      <c r="D159" s="17">
        <f>MAX(I3:I152)</f>
        <v>5</v>
      </c>
      <c r="E159" s="1"/>
      <c r="F159" s="2" t="s">
        <v>349</v>
      </c>
      <c r="G159" s="17">
        <f>COUNTIF(I3:I152,"&gt;3")</f>
        <v>42</v>
      </c>
      <c r="H159" s="11"/>
      <c r="I159" s="1"/>
    </row>
    <row r="160" spans="1:11" x14ac:dyDescent="0.35">
      <c r="A160" s="17" t="s">
        <v>326</v>
      </c>
      <c r="B160" s="17">
        <f>SUM(G3:G152)</f>
        <v>9936085</v>
      </c>
      <c r="C160" s="19" t="s">
        <v>326</v>
      </c>
      <c r="D160" s="17">
        <f>SUM(I3:I152)</f>
        <v>434</v>
      </c>
      <c r="E160" s="1"/>
      <c r="F160" s="1"/>
      <c r="G160" s="1"/>
      <c r="H160" s="1"/>
    </row>
    <row r="161" spans="1:12" x14ac:dyDescent="0.35">
      <c r="A161" s="17" t="s">
        <v>327</v>
      </c>
      <c r="B161" s="17">
        <f>COUNT(G3:G152)</f>
        <v>150</v>
      </c>
      <c r="C161" s="19" t="s">
        <v>327</v>
      </c>
      <c r="D161" s="17">
        <f>COUNT(I3:I152)</f>
        <v>150</v>
      </c>
      <c r="E161" s="1"/>
      <c r="F161" s="1"/>
      <c r="G161" s="1"/>
      <c r="H161" s="1"/>
    </row>
    <row r="163" spans="1:12" ht="72.5" x14ac:dyDescent="0.35">
      <c r="A163" s="30" t="s">
        <v>330</v>
      </c>
      <c r="B163" s="18" t="s">
        <v>311</v>
      </c>
      <c r="C163" s="18" t="s">
        <v>334</v>
      </c>
      <c r="D163" s="18" t="s">
        <v>339</v>
      </c>
      <c r="E163" s="17"/>
      <c r="F163" s="18" t="s">
        <v>302</v>
      </c>
      <c r="G163" s="18" t="s">
        <v>303</v>
      </c>
      <c r="H163" s="19" t="s">
        <v>306</v>
      </c>
      <c r="I163" s="18" t="s">
        <v>307</v>
      </c>
      <c r="J163" s="19" t="s">
        <v>390</v>
      </c>
      <c r="K163" s="19" t="s">
        <v>352</v>
      </c>
    </row>
    <row r="164" spans="1:12" ht="55.5" x14ac:dyDescent="0.35">
      <c r="A164" s="9" t="s">
        <v>0</v>
      </c>
      <c r="B164" s="9" t="s">
        <v>402</v>
      </c>
      <c r="C164" s="10" t="s">
        <v>403</v>
      </c>
      <c r="D164" s="9" t="s">
        <v>310</v>
      </c>
      <c r="E164" s="9" t="s">
        <v>4</v>
      </c>
      <c r="F164" s="10" t="s">
        <v>304</v>
      </c>
      <c r="G164" s="10" t="s">
        <v>305</v>
      </c>
      <c r="H164" s="9" t="s">
        <v>404</v>
      </c>
      <c r="I164" s="10" t="s">
        <v>6</v>
      </c>
      <c r="J164" s="10" t="s">
        <v>309</v>
      </c>
      <c r="K164" s="9" t="s">
        <v>8</v>
      </c>
      <c r="L164" s="30" t="s">
        <v>312</v>
      </c>
    </row>
  </sheetData>
  <mergeCells count="7">
    <mergeCell ref="A154:D154"/>
    <mergeCell ref="F158:G158"/>
    <mergeCell ref="F154:G154"/>
    <mergeCell ref="F155:G155"/>
    <mergeCell ref="H154:I154"/>
    <mergeCell ref="A155:B155"/>
    <mergeCell ref="C155:D1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7631-4A2F-4641-A922-0F8912E518CA}">
  <dimension ref="A2:M229"/>
  <sheetViews>
    <sheetView tabSelected="1" topLeftCell="C150" workbookViewId="0">
      <selection activeCell="N150" sqref="N1:O1048576"/>
    </sheetView>
  </sheetViews>
  <sheetFormatPr defaultColWidth="9.1796875" defaultRowHeight="14.5" x14ac:dyDescent="0.35"/>
  <cols>
    <col min="1" max="1" width="15.54296875" style="6" bestFit="1" customWidth="1"/>
    <col min="2" max="2" width="19.54296875" style="6" bestFit="1" customWidth="1"/>
    <col min="3" max="3" width="25.1796875" style="6" bestFit="1" customWidth="1"/>
    <col min="4" max="4" width="22" style="6" customWidth="1"/>
    <col min="5" max="5" width="8.1796875" style="6" bestFit="1" customWidth="1"/>
    <col min="6" max="6" width="18.1796875" style="6" bestFit="1" customWidth="1"/>
    <col min="7" max="7" width="22.54296875" style="6" bestFit="1" customWidth="1"/>
    <col min="8" max="8" width="23.81640625" style="6" bestFit="1" customWidth="1"/>
    <col min="9" max="9" width="19.26953125" style="6" bestFit="1" customWidth="1"/>
    <col min="10" max="10" width="16.54296875" style="6" bestFit="1" customWidth="1"/>
    <col min="11" max="11" width="22.1796875" style="6" bestFit="1" customWidth="1"/>
    <col min="12" max="12" width="22.7265625" style="6" bestFit="1" customWidth="1"/>
    <col min="13" max="13" width="15.26953125" style="6" bestFit="1" customWidth="1"/>
    <col min="14" max="16384" width="9.1796875" style="6"/>
  </cols>
  <sheetData>
    <row r="2" spans="1:13" ht="37" x14ac:dyDescent="0.35">
      <c r="A2" s="9" t="s">
        <v>0</v>
      </c>
      <c r="B2" s="9" t="s">
        <v>402</v>
      </c>
      <c r="C2" s="10" t="s">
        <v>403</v>
      </c>
      <c r="D2" s="9" t="s">
        <v>310</v>
      </c>
      <c r="E2" s="9" t="s">
        <v>4</v>
      </c>
      <c r="F2" s="10" t="s">
        <v>304</v>
      </c>
      <c r="G2" s="10" t="s">
        <v>305</v>
      </c>
      <c r="H2" s="9" t="s">
        <v>404</v>
      </c>
      <c r="I2" s="10" t="s">
        <v>6</v>
      </c>
      <c r="J2" s="10" t="s">
        <v>309</v>
      </c>
      <c r="K2" s="16" t="s">
        <v>8</v>
      </c>
      <c r="L2" s="9" t="s">
        <v>392</v>
      </c>
      <c r="M2" s="29" t="s">
        <v>401</v>
      </c>
    </row>
    <row r="3" spans="1:13" x14ac:dyDescent="0.35">
      <c r="A3" s="19" t="s">
        <v>9</v>
      </c>
      <c r="B3" s="19" t="s">
        <v>178</v>
      </c>
      <c r="C3" s="19" t="s">
        <v>335</v>
      </c>
      <c r="D3" s="19" t="s">
        <v>340</v>
      </c>
      <c r="E3" s="19" t="s">
        <v>177</v>
      </c>
      <c r="F3" s="22" t="str">
        <f t="shared" ref="F3:F34" si="0">SUBSTITUTE(E3,"N/A","0")</f>
        <v>0</v>
      </c>
      <c r="G3" s="19">
        <v>65605</v>
      </c>
      <c r="H3" s="20" t="s">
        <v>178</v>
      </c>
      <c r="I3" s="19">
        <v>2</v>
      </c>
      <c r="J3" s="19" t="s">
        <v>178</v>
      </c>
      <c r="K3" s="19" t="s">
        <v>182</v>
      </c>
      <c r="L3" s="19">
        <v>1000</v>
      </c>
      <c r="M3" s="28">
        <f ca="1">IF(H3="Unknown",0,DATEDIF(H3, TODAY(), "MD"))</f>
        <v>0</v>
      </c>
    </row>
    <row r="4" spans="1:13" x14ac:dyDescent="0.35">
      <c r="A4" s="19" t="s">
        <v>10</v>
      </c>
      <c r="B4" s="19" t="s">
        <v>159</v>
      </c>
      <c r="C4" s="19" t="s">
        <v>167</v>
      </c>
      <c r="D4" s="19" t="s">
        <v>341</v>
      </c>
      <c r="E4" s="19">
        <v>54255</v>
      </c>
      <c r="F4" s="22" t="str">
        <f t="shared" si="0"/>
        <v>54255</v>
      </c>
      <c r="G4" s="19">
        <v>54255</v>
      </c>
      <c r="H4" s="20">
        <v>42015</v>
      </c>
      <c r="I4" s="19">
        <v>1</v>
      </c>
      <c r="J4" s="19" t="s">
        <v>179</v>
      </c>
      <c r="K4" s="19" t="s">
        <v>183</v>
      </c>
      <c r="L4" s="19">
        <v>1001</v>
      </c>
      <c r="M4" s="28">
        <f ca="1">IF(H4="Unknown",0,DATEDIF(H4, TODAY(), "MD"))</f>
        <v>10</v>
      </c>
    </row>
    <row r="5" spans="1:13" x14ac:dyDescent="0.35">
      <c r="A5" s="19" t="s">
        <v>11</v>
      </c>
      <c r="B5" s="19" t="s">
        <v>160</v>
      </c>
      <c r="C5" s="19" t="s">
        <v>335</v>
      </c>
      <c r="D5" s="19" t="s">
        <v>341</v>
      </c>
      <c r="E5" s="19">
        <v>63184</v>
      </c>
      <c r="F5" s="22" t="str">
        <f t="shared" si="0"/>
        <v>63184</v>
      </c>
      <c r="G5" s="19">
        <v>63184</v>
      </c>
      <c r="H5" s="20">
        <v>42022</v>
      </c>
      <c r="I5" s="19">
        <v>2</v>
      </c>
      <c r="J5" s="19" t="s">
        <v>178</v>
      </c>
      <c r="K5" s="19" t="s">
        <v>184</v>
      </c>
      <c r="L5" s="19">
        <v>1002</v>
      </c>
      <c r="M5" s="28">
        <f t="shared" ref="M5:M68" ca="1" si="1">IF(H5="Unknown",0,DATEDIF(H5, TODAY(), "MD"))</f>
        <v>3</v>
      </c>
    </row>
    <row r="6" spans="1:13" x14ac:dyDescent="0.35">
      <c r="A6" s="19" t="s">
        <v>12</v>
      </c>
      <c r="B6" s="19" t="s">
        <v>161</v>
      </c>
      <c r="C6" s="19" t="s">
        <v>336</v>
      </c>
      <c r="D6" s="19" t="s">
        <v>342</v>
      </c>
      <c r="E6" s="19">
        <v>94406</v>
      </c>
      <c r="F6" s="22" t="str">
        <f t="shared" si="0"/>
        <v>94406</v>
      </c>
      <c r="G6" s="19">
        <v>94406</v>
      </c>
      <c r="H6" s="20">
        <v>42029</v>
      </c>
      <c r="I6" s="19">
        <v>1</v>
      </c>
      <c r="J6" s="19" t="s">
        <v>180</v>
      </c>
      <c r="K6" s="19" t="s">
        <v>185</v>
      </c>
      <c r="L6" s="19">
        <v>1003</v>
      </c>
      <c r="M6" s="28">
        <f t="shared" ca="1" si="1"/>
        <v>27</v>
      </c>
    </row>
    <row r="7" spans="1:13" x14ac:dyDescent="0.35">
      <c r="A7" s="19" t="s">
        <v>13</v>
      </c>
      <c r="B7" s="19" t="s">
        <v>162</v>
      </c>
      <c r="C7" s="19" t="s">
        <v>336</v>
      </c>
      <c r="D7" s="19" t="s">
        <v>341</v>
      </c>
      <c r="E7" s="19">
        <v>64120</v>
      </c>
      <c r="F7" s="22" t="str">
        <f t="shared" si="0"/>
        <v>64120</v>
      </c>
      <c r="G7" s="19">
        <v>64120</v>
      </c>
      <c r="H7" s="20">
        <v>42036</v>
      </c>
      <c r="I7" s="19">
        <v>1</v>
      </c>
      <c r="J7" s="19" t="s">
        <v>180</v>
      </c>
      <c r="K7" s="19" t="s">
        <v>186</v>
      </c>
      <c r="L7" s="19">
        <v>1004</v>
      </c>
      <c r="M7" s="28">
        <f t="shared" ca="1" si="1"/>
        <v>20</v>
      </c>
    </row>
    <row r="8" spans="1:13" x14ac:dyDescent="0.35">
      <c r="A8" s="19" t="s">
        <v>14</v>
      </c>
      <c r="B8" s="19" t="s">
        <v>160</v>
      </c>
      <c r="C8" s="19" t="s">
        <v>169</v>
      </c>
      <c r="D8" s="19" t="s">
        <v>343</v>
      </c>
      <c r="E8" s="19">
        <v>78421</v>
      </c>
      <c r="F8" s="22" t="str">
        <f t="shared" si="0"/>
        <v>78421</v>
      </c>
      <c r="G8" s="19">
        <v>78421</v>
      </c>
      <c r="H8" s="20">
        <v>42043</v>
      </c>
      <c r="I8" s="19">
        <v>2</v>
      </c>
      <c r="J8" s="19" t="s">
        <v>181</v>
      </c>
      <c r="K8" s="19" t="s">
        <v>187</v>
      </c>
      <c r="L8" s="19">
        <v>1005</v>
      </c>
      <c r="M8" s="28">
        <f t="shared" ca="1" si="1"/>
        <v>13</v>
      </c>
    </row>
    <row r="9" spans="1:13" x14ac:dyDescent="0.35">
      <c r="A9" s="19" t="s">
        <v>15</v>
      </c>
      <c r="B9" s="19" t="s">
        <v>163</v>
      </c>
      <c r="C9" s="19" t="s">
        <v>336</v>
      </c>
      <c r="D9" s="19" t="s">
        <v>340</v>
      </c>
      <c r="E9" s="19">
        <v>67721</v>
      </c>
      <c r="F9" s="22" t="str">
        <f t="shared" si="0"/>
        <v>67721</v>
      </c>
      <c r="G9" s="19">
        <v>67721</v>
      </c>
      <c r="H9" s="20">
        <v>42050</v>
      </c>
      <c r="I9" s="19">
        <v>3</v>
      </c>
      <c r="J9" s="19" t="s">
        <v>180</v>
      </c>
      <c r="K9" s="19" t="s">
        <v>185</v>
      </c>
      <c r="L9" s="19">
        <v>1006</v>
      </c>
      <c r="M9" s="28">
        <f t="shared" ca="1" si="1"/>
        <v>6</v>
      </c>
    </row>
    <row r="10" spans="1:13" x14ac:dyDescent="0.35">
      <c r="A10" s="19" t="s">
        <v>16</v>
      </c>
      <c r="B10" s="19" t="s">
        <v>164</v>
      </c>
      <c r="C10" s="19" t="s">
        <v>337</v>
      </c>
      <c r="D10" s="19" t="s">
        <v>340</v>
      </c>
      <c r="E10" s="19">
        <v>35364</v>
      </c>
      <c r="F10" s="22" t="str">
        <f t="shared" si="0"/>
        <v>35364</v>
      </c>
      <c r="G10" s="19">
        <v>35364</v>
      </c>
      <c r="H10" s="20">
        <v>42057</v>
      </c>
      <c r="I10" s="19">
        <v>2</v>
      </c>
      <c r="J10" s="19" t="s">
        <v>179</v>
      </c>
      <c r="K10" s="19" t="s">
        <v>188</v>
      </c>
      <c r="L10" s="19">
        <v>1007</v>
      </c>
      <c r="M10" s="28">
        <f t="shared" ca="1" si="1"/>
        <v>30</v>
      </c>
    </row>
    <row r="11" spans="1:13" x14ac:dyDescent="0.35">
      <c r="A11" s="19" t="s">
        <v>17</v>
      </c>
      <c r="B11" s="19" t="s">
        <v>160</v>
      </c>
      <c r="C11" s="19" t="s">
        <v>169</v>
      </c>
      <c r="D11" s="19" t="s">
        <v>341</v>
      </c>
      <c r="E11" s="19">
        <v>97881</v>
      </c>
      <c r="F11" s="22" t="str">
        <f t="shared" si="0"/>
        <v>97881</v>
      </c>
      <c r="G11" s="19">
        <v>97881</v>
      </c>
      <c r="H11" s="20">
        <v>42064</v>
      </c>
      <c r="I11" s="19">
        <v>3</v>
      </c>
      <c r="J11" s="19" t="s">
        <v>181</v>
      </c>
      <c r="K11" s="19" t="s">
        <v>189</v>
      </c>
      <c r="L11" s="19">
        <v>1008</v>
      </c>
      <c r="M11" s="28">
        <f t="shared" ca="1" si="1"/>
        <v>20</v>
      </c>
    </row>
    <row r="12" spans="1:13" x14ac:dyDescent="0.35">
      <c r="A12" s="19" t="s">
        <v>18</v>
      </c>
      <c r="B12" s="19" t="s">
        <v>164</v>
      </c>
      <c r="C12" s="19" t="s">
        <v>167</v>
      </c>
      <c r="D12" s="19" t="s">
        <v>344</v>
      </c>
      <c r="E12" s="19">
        <v>91846</v>
      </c>
      <c r="F12" s="22" t="str">
        <f t="shared" si="0"/>
        <v>91846</v>
      </c>
      <c r="G12" s="19">
        <v>91846</v>
      </c>
      <c r="H12" s="20">
        <v>42071</v>
      </c>
      <c r="I12" s="19">
        <v>3</v>
      </c>
      <c r="J12" s="19" t="s">
        <v>180</v>
      </c>
      <c r="K12" s="19" t="s">
        <v>190</v>
      </c>
      <c r="L12" s="19">
        <v>1009</v>
      </c>
      <c r="M12" s="28">
        <f t="shared" ca="1" si="1"/>
        <v>13</v>
      </c>
    </row>
    <row r="13" spans="1:13" x14ac:dyDescent="0.35">
      <c r="A13" s="19" t="s">
        <v>19</v>
      </c>
      <c r="B13" s="19" t="s">
        <v>163</v>
      </c>
      <c r="C13" s="19" t="s">
        <v>335</v>
      </c>
      <c r="D13" s="19" t="s">
        <v>344</v>
      </c>
      <c r="E13" s="19">
        <v>64247</v>
      </c>
      <c r="F13" s="22" t="str">
        <f t="shared" si="0"/>
        <v>64247</v>
      </c>
      <c r="G13" s="19">
        <v>64247</v>
      </c>
      <c r="H13" s="20">
        <v>42078</v>
      </c>
      <c r="I13" s="19">
        <v>1</v>
      </c>
      <c r="J13" s="19" t="s">
        <v>181</v>
      </c>
      <c r="K13" s="19" t="s">
        <v>191</v>
      </c>
      <c r="L13" s="19">
        <v>1010</v>
      </c>
      <c r="M13" s="28">
        <f t="shared" ca="1" si="1"/>
        <v>6</v>
      </c>
    </row>
    <row r="14" spans="1:13" x14ac:dyDescent="0.35">
      <c r="A14" s="19" t="s">
        <v>20</v>
      </c>
      <c r="B14" s="19" t="s">
        <v>163</v>
      </c>
      <c r="C14" s="19" t="s">
        <v>169</v>
      </c>
      <c r="D14" s="19" t="s">
        <v>342</v>
      </c>
      <c r="E14" s="19">
        <v>91180</v>
      </c>
      <c r="F14" s="22" t="str">
        <f t="shared" si="0"/>
        <v>91180</v>
      </c>
      <c r="G14" s="19">
        <v>91180</v>
      </c>
      <c r="H14" s="20">
        <v>42085</v>
      </c>
      <c r="I14" s="19">
        <v>5</v>
      </c>
      <c r="J14" s="19" t="s">
        <v>180</v>
      </c>
      <c r="K14" s="19" t="s">
        <v>192</v>
      </c>
      <c r="L14" s="19">
        <v>1011</v>
      </c>
      <c r="M14" s="28">
        <f t="shared" ca="1" si="1"/>
        <v>30</v>
      </c>
    </row>
    <row r="15" spans="1:13" x14ac:dyDescent="0.35">
      <c r="A15" s="19" t="s">
        <v>21</v>
      </c>
      <c r="B15" s="19" t="s">
        <v>165</v>
      </c>
      <c r="C15" s="19" t="s">
        <v>336</v>
      </c>
      <c r="D15" s="19" t="s">
        <v>340</v>
      </c>
      <c r="E15" s="19">
        <v>96418</v>
      </c>
      <c r="F15" s="22" t="str">
        <f t="shared" si="0"/>
        <v>96418</v>
      </c>
      <c r="G15" s="19">
        <v>96418</v>
      </c>
      <c r="H15" s="20">
        <v>42092</v>
      </c>
      <c r="I15" s="19">
        <v>5</v>
      </c>
      <c r="J15" s="19" t="s">
        <v>180</v>
      </c>
      <c r="K15" s="19" t="s">
        <v>183</v>
      </c>
      <c r="L15" s="19">
        <v>1012</v>
      </c>
      <c r="M15" s="28">
        <f t="shared" ca="1" si="1"/>
        <v>23</v>
      </c>
    </row>
    <row r="16" spans="1:13" x14ac:dyDescent="0.35">
      <c r="A16" s="19" t="s">
        <v>22</v>
      </c>
      <c r="B16" s="19" t="s">
        <v>163</v>
      </c>
      <c r="C16" s="19" t="s">
        <v>338</v>
      </c>
      <c r="D16" s="19" t="s">
        <v>343</v>
      </c>
      <c r="E16" s="19">
        <v>62158</v>
      </c>
      <c r="F16" s="22" t="str">
        <f t="shared" si="0"/>
        <v>62158</v>
      </c>
      <c r="G16" s="19">
        <v>62158</v>
      </c>
      <c r="H16" s="20">
        <v>42099</v>
      </c>
      <c r="I16" s="19">
        <v>4</v>
      </c>
      <c r="J16" s="19" t="s">
        <v>178</v>
      </c>
      <c r="K16" s="19" t="s">
        <v>193</v>
      </c>
      <c r="L16" s="19">
        <v>1013</v>
      </c>
      <c r="M16" s="28">
        <f t="shared" ca="1" si="1"/>
        <v>16</v>
      </c>
    </row>
    <row r="17" spans="1:13" x14ac:dyDescent="0.35">
      <c r="A17" s="19" t="s">
        <v>23</v>
      </c>
      <c r="B17" s="19" t="s">
        <v>162</v>
      </c>
      <c r="C17" s="19" t="s">
        <v>167</v>
      </c>
      <c r="D17" s="19" t="s">
        <v>340</v>
      </c>
      <c r="E17" s="19">
        <v>59894</v>
      </c>
      <c r="F17" s="22" t="str">
        <f t="shared" si="0"/>
        <v>59894</v>
      </c>
      <c r="G17" s="19">
        <v>59894</v>
      </c>
      <c r="H17" s="20">
        <v>42106</v>
      </c>
      <c r="I17" s="19">
        <v>2</v>
      </c>
      <c r="J17" s="19" t="s">
        <v>180</v>
      </c>
      <c r="K17" s="19" t="s">
        <v>194</v>
      </c>
      <c r="L17" s="19">
        <v>1014</v>
      </c>
      <c r="M17" s="28">
        <f t="shared" ca="1" si="1"/>
        <v>9</v>
      </c>
    </row>
    <row r="18" spans="1:13" x14ac:dyDescent="0.35">
      <c r="A18" s="19" t="s">
        <v>24</v>
      </c>
      <c r="B18" s="19" t="s">
        <v>178</v>
      </c>
      <c r="C18" s="19" t="s">
        <v>169</v>
      </c>
      <c r="D18" s="19" t="s">
        <v>343</v>
      </c>
      <c r="E18" s="19">
        <v>92443</v>
      </c>
      <c r="F18" s="22" t="str">
        <f t="shared" si="0"/>
        <v>92443</v>
      </c>
      <c r="G18" s="19">
        <v>92443</v>
      </c>
      <c r="H18" s="20">
        <v>42113</v>
      </c>
      <c r="I18" s="19">
        <v>3</v>
      </c>
      <c r="J18" s="19" t="s">
        <v>179</v>
      </c>
      <c r="K18" s="19" t="s">
        <v>195</v>
      </c>
      <c r="L18" s="19">
        <v>1015</v>
      </c>
      <c r="M18" s="28">
        <f t="shared" ca="1" si="1"/>
        <v>2</v>
      </c>
    </row>
    <row r="19" spans="1:13" x14ac:dyDescent="0.35">
      <c r="A19" s="19" t="s">
        <v>25</v>
      </c>
      <c r="B19" s="19" t="s">
        <v>165</v>
      </c>
      <c r="C19" s="19" t="s">
        <v>338</v>
      </c>
      <c r="D19" s="19" t="s">
        <v>341</v>
      </c>
      <c r="E19" s="19">
        <v>90271</v>
      </c>
      <c r="F19" s="22" t="str">
        <f t="shared" si="0"/>
        <v>90271</v>
      </c>
      <c r="G19" s="19">
        <v>90271</v>
      </c>
      <c r="H19" s="20">
        <v>42120</v>
      </c>
      <c r="I19" s="19">
        <v>3</v>
      </c>
      <c r="J19" s="19" t="s">
        <v>178</v>
      </c>
      <c r="K19" s="19" t="s">
        <v>196</v>
      </c>
      <c r="L19" s="19">
        <v>1016</v>
      </c>
      <c r="M19" s="28">
        <f t="shared" ca="1" si="1"/>
        <v>26</v>
      </c>
    </row>
    <row r="20" spans="1:13" x14ac:dyDescent="0.35">
      <c r="A20" s="19" t="s">
        <v>26</v>
      </c>
      <c r="B20" s="19" t="s">
        <v>162</v>
      </c>
      <c r="C20" s="19" t="s">
        <v>335</v>
      </c>
      <c r="D20" s="19" t="s">
        <v>345</v>
      </c>
      <c r="E20" s="19">
        <v>41341</v>
      </c>
      <c r="F20" s="22" t="str">
        <f t="shared" si="0"/>
        <v>41341</v>
      </c>
      <c r="G20" s="19">
        <v>41341</v>
      </c>
      <c r="H20" s="20">
        <v>42127</v>
      </c>
      <c r="I20" s="19">
        <v>1</v>
      </c>
      <c r="J20" s="19" t="s">
        <v>179</v>
      </c>
      <c r="K20" s="19" t="s">
        <v>197</v>
      </c>
      <c r="L20" s="19">
        <v>1017</v>
      </c>
      <c r="M20" s="28">
        <f t="shared" ca="1" si="1"/>
        <v>18</v>
      </c>
    </row>
    <row r="21" spans="1:13" x14ac:dyDescent="0.35">
      <c r="A21" s="19" t="s">
        <v>27</v>
      </c>
      <c r="B21" s="19" t="s">
        <v>160</v>
      </c>
      <c r="C21" s="19" t="s">
        <v>335</v>
      </c>
      <c r="D21" s="19" t="s">
        <v>344</v>
      </c>
      <c r="E21" s="19">
        <v>73602</v>
      </c>
      <c r="F21" s="22" t="str">
        <f t="shared" si="0"/>
        <v>73602</v>
      </c>
      <c r="G21" s="19">
        <v>73602</v>
      </c>
      <c r="H21" s="20">
        <v>42134</v>
      </c>
      <c r="I21" s="19">
        <v>3</v>
      </c>
      <c r="J21" s="19" t="s">
        <v>178</v>
      </c>
      <c r="K21" s="19" t="s">
        <v>198</v>
      </c>
      <c r="L21" s="19">
        <v>1018</v>
      </c>
      <c r="M21" s="28">
        <f t="shared" ca="1" si="1"/>
        <v>11</v>
      </c>
    </row>
    <row r="22" spans="1:13" x14ac:dyDescent="0.35">
      <c r="A22" s="19" t="s">
        <v>28</v>
      </c>
      <c r="B22" s="19" t="s">
        <v>159</v>
      </c>
      <c r="C22" s="19" t="s">
        <v>338</v>
      </c>
      <c r="D22" s="19" t="s">
        <v>343</v>
      </c>
      <c r="E22" s="19">
        <v>67531</v>
      </c>
      <c r="F22" s="22" t="str">
        <f t="shared" si="0"/>
        <v>67531</v>
      </c>
      <c r="G22" s="19">
        <v>67531</v>
      </c>
      <c r="H22" s="20">
        <v>42141</v>
      </c>
      <c r="I22" s="19">
        <v>5</v>
      </c>
      <c r="J22" s="19" t="s">
        <v>181</v>
      </c>
      <c r="K22" s="19" t="s">
        <v>199</v>
      </c>
      <c r="L22" s="19">
        <v>1019</v>
      </c>
      <c r="M22" s="28">
        <f t="shared" ca="1" si="1"/>
        <v>4</v>
      </c>
    </row>
    <row r="23" spans="1:13" x14ac:dyDescent="0.35">
      <c r="A23" s="19" t="s">
        <v>29</v>
      </c>
      <c r="B23" s="19" t="s">
        <v>162</v>
      </c>
      <c r="C23" s="19" t="s">
        <v>167</v>
      </c>
      <c r="D23" s="19" t="s">
        <v>342</v>
      </c>
      <c r="E23" s="19" t="s">
        <v>177</v>
      </c>
      <c r="F23" s="22" t="str">
        <f t="shared" si="0"/>
        <v>0</v>
      </c>
      <c r="G23" s="19">
        <v>67835</v>
      </c>
      <c r="H23" s="20">
        <v>42148</v>
      </c>
      <c r="I23" s="19">
        <v>2</v>
      </c>
      <c r="J23" s="19" t="s">
        <v>179</v>
      </c>
      <c r="K23" s="19" t="s">
        <v>200</v>
      </c>
      <c r="L23" s="19">
        <v>1020</v>
      </c>
      <c r="M23" s="28">
        <f t="shared" ca="1" si="1"/>
        <v>28</v>
      </c>
    </row>
    <row r="24" spans="1:13" x14ac:dyDescent="0.35">
      <c r="A24" s="19" t="s">
        <v>30</v>
      </c>
      <c r="B24" s="19" t="s">
        <v>162</v>
      </c>
      <c r="C24" s="19" t="s">
        <v>167</v>
      </c>
      <c r="D24" s="19" t="s">
        <v>340</v>
      </c>
      <c r="E24" s="19">
        <v>98922</v>
      </c>
      <c r="F24" s="22" t="str">
        <f t="shared" si="0"/>
        <v>98922</v>
      </c>
      <c r="G24" s="19">
        <v>98922</v>
      </c>
      <c r="H24" s="20">
        <v>42155</v>
      </c>
      <c r="I24" s="19">
        <v>4</v>
      </c>
      <c r="J24" s="19" t="s">
        <v>178</v>
      </c>
      <c r="K24" s="19" t="s">
        <v>201</v>
      </c>
      <c r="L24" s="19">
        <v>1021</v>
      </c>
      <c r="M24" s="28">
        <f t="shared" ca="1" si="1"/>
        <v>21</v>
      </c>
    </row>
    <row r="25" spans="1:13" x14ac:dyDescent="0.35">
      <c r="A25" s="19" t="s">
        <v>31</v>
      </c>
      <c r="B25" s="19" t="s">
        <v>159</v>
      </c>
      <c r="C25" s="19" t="s">
        <v>335</v>
      </c>
      <c r="D25" s="19" t="s">
        <v>343</v>
      </c>
      <c r="E25" s="19">
        <v>38333</v>
      </c>
      <c r="F25" s="22" t="str">
        <f t="shared" si="0"/>
        <v>38333</v>
      </c>
      <c r="G25" s="19">
        <v>38333</v>
      </c>
      <c r="H25" s="20">
        <v>42162</v>
      </c>
      <c r="I25" s="19">
        <v>5</v>
      </c>
      <c r="J25" s="19" t="s">
        <v>178</v>
      </c>
      <c r="K25" s="19" t="s">
        <v>202</v>
      </c>
      <c r="L25" s="19">
        <v>1022</v>
      </c>
      <c r="M25" s="28">
        <f t="shared" ca="1" si="1"/>
        <v>14</v>
      </c>
    </row>
    <row r="26" spans="1:13" x14ac:dyDescent="0.35">
      <c r="A26" s="19" t="s">
        <v>32</v>
      </c>
      <c r="B26" s="19" t="s">
        <v>160</v>
      </c>
      <c r="C26" s="19" t="s">
        <v>337</v>
      </c>
      <c r="D26" s="19" t="s">
        <v>344</v>
      </c>
      <c r="E26" s="19">
        <v>36515</v>
      </c>
      <c r="F26" s="22" t="str">
        <f t="shared" si="0"/>
        <v>36515</v>
      </c>
      <c r="G26" s="19">
        <v>36515</v>
      </c>
      <c r="H26" s="20">
        <v>42169</v>
      </c>
      <c r="I26" s="19">
        <v>3</v>
      </c>
      <c r="J26" s="19" t="s">
        <v>180</v>
      </c>
      <c r="K26" s="19" t="s">
        <v>203</v>
      </c>
      <c r="L26" s="19">
        <v>1023</v>
      </c>
      <c r="M26" s="28">
        <f t="shared" ca="1" si="1"/>
        <v>7</v>
      </c>
    </row>
    <row r="27" spans="1:13" x14ac:dyDescent="0.35">
      <c r="A27" s="19" t="s">
        <v>33</v>
      </c>
      <c r="B27" s="19" t="s">
        <v>163</v>
      </c>
      <c r="C27" s="19" t="s">
        <v>335</v>
      </c>
      <c r="D27" s="19" t="s">
        <v>340</v>
      </c>
      <c r="E27" s="19">
        <v>91005</v>
      </c>
      <c r="F27" s="22" t="str">
        <f t="shared" si="0"/>
        <v>91005</v>
      </c>
      <c r="G27" s="19">
        <v>91005</v>
      </c>
      <c r="H27" s="20">
        <v>42176</v>
      </c>
      <c r="I27" s="19">
        <v>1</v>
      </c>
      <c r="J27" s="19" t="s">
        <v>179</v>
      </c>
      <c r="K27" s="19" t="s">
        <v>204</v>
      </c>
      <c r="L27" s="19">
        <v>1024</v>
      </c>
      <c r="M27" s="28">
        <f t="shared" ca="1" si="1"/>
        <v>0</v>
      </c>
    </row>
    <row r="28" spans="1:13" x14ac:dyDescent="0.35">
      <c r="A28" s="19" t="s">
        <v>34</v>
      </c>
      <c r="B28" s="19" t="s">
        <v>164</v>
      </c>
      <c r="C28" s="19" t="s">
        <v>338</v>
      </c>
      <c r="D28" s="19" t="s">
        <v>340</v>
      </c>
      <c r="E28" s="19">
        <v>52272</v>
      </c>
      <c r="F28" s="22" t="str">
        <f t="shared" si="0"/>
        <v>52272</v>
      </c>
      <c r="G28" s="19">
        <v>52272</v>
      </c>
      <c r="H28" s="20">
        <v>42183</v>
      </c>
      <c r="I28" s="19">
        <v>3</v>
      </c>
      <c r="J28" s="19" t="s">
        <v>178</v>
      </c>
      <c r="K28" s="19" t="s">
        <v>205</v>
      </c>
      <c r="L28" s="19">
        <v>1025</v>
      </c>
      <c r="M28" s="28">
        <f t="shared" ca="1" si="1"/>
        <v>24</v>
      </c>
    </row>
    <row r="29" spans="1:13" x14ac:dyDescent="0.35">
      <c r="A29" s="19" t="s">
        <v>35</v>
      </c>
      <c r="B29" s="19" t="s">
        <v>159</v>
      </c>
      <c r="C29" s="19" t="s">
        <v>336</v>
      </c>
      <c r="D29" s="19" t="s">
        <v>341</v>
      </c>
      <c r="E29" s="19">
        <v>76518</v>
      </c>
      <c r="F29" s="22" t="str">
        <f t="shared" si="0"/>
        <v>76518</v>
      </c>
      <c r="G29" s="19">
        <v>76518</v>
      </c>
      <c r="H29" s="20">
        <v>42190</v>
      </c>
      <c r="I29" s="19">
        <v>2</v>
      </c>
      <c r="J29" s="19" t="s">
        <v>181</v>
      </c>
      <c r="K29" s="19" t="s">
        <v>206</v>
      </c>
      <c r="L29" s="19">
        <v>1026</v>
      </c>
      <c r="M29" s="28">
        <f t="shared" ca="1" si="1"/>
        <v>16</v>
      </c>
    </row>
    <row r="30" spans="1:13" x14ac:dyDescent="0.35">
      <c r="A30" s="19" t="s">
        <v>36</v>
      </c>
      <c r="B30" s="19" t="s">
        <v>160</v>
      </c>
      <c r="C30" s="19" t="s">
        <v>169</v>
      </c>
      <c r="D30" s="19" t="s">
        <v>344</v>
      </c>
      <c r="E30" s="19">
        <v>41448</v>
      </c>
      <c r="F30" s="22" t="str">
        <f t="shared" si="0"/>
        <v>41448</v>
      </c>
      <c r="G30" s="19">
        <v>41448</v>
      </c>
      <c r="H30" s="20">
        <v>42197</v>
      </c>
      <c r="I30" s="19">
        <v>3</v>
      </c>
      <c r="J30" s="19" t="s">
        <v>179</v>
      </c>
      <c r="K30" s="19" t="s">
        <v>207</v>
      </c>
      <c r="L30" s="19">
        <v>1027</v>
      </c>
      <c r="M30" s="28">
        <f t="shared" ca="1" si="1"/>
        <v>9</v>
      </c>
    </row>
    <row r="31" spans="1:13" x14ac:dyDescent="0.35">
      <c r="A31" s="19" t="s">
        <v>37</v>
      </c>
      <c r="B31" s="19" t="s">
        <v>161</v>
      </c>
      <c r="C31" s="19" t="s">
        <v>167</v>
      </c>
      <c r="D31" s="19" t="s">
        <v>344</v>
      </c>
      <c r="E31" s="19">
        <v>49282</v>
      </c>
      <c r="F31" s="22" t="str">
        <f t="shared" si="0"/>
        <v>49282</v>
      </c>
      <c r="G31" s="19">
        <v>49282</v>
      </c>
      <c r="H31" s="20">
        <v>42204</v>
      </c>
      <c r="I31" s="19">
        <v>2</v>
      </c>
      <c r="J31" s="19" t="s">
        <v>181</v>
      </c>
      <c r="K31" s="19" t="s">
        <v>208</v>
      </c>
      <c r="L31" s="19">
        <v>1028</v>
      </c>
      <c r="M31" s="28">
        <f t="shared" ca="1" si="1"/>
        <v>2</v>
      </c>
    </row>
    <row r="32" spans="1:13" x14ac:dyDescent="0.35">
      <c r="A32" s="19" t="s">
        <v>38</v>
      </c>
      <c r="B32" s="19" t="s">
        <v>165</v>
      </c>
      <c r="C32" s="19" t="s">
        <v>337</v>
      </c>
      <c r="D32" s="19" t="s">
        <v>344</v>
      </c>
      <c r="E32" s="19">
        <v>92959</v>
      </c>
      <c r="F32" s="22" t="str">
        <f t="shared" si="0"/>
        <v>92959</v>
      </c>
      <c r="G32" s="19">
        <v>92959</v>
      </c>
      <c r="H32" s="20">
        <v>42211</v>
      </c>
      <c r="I32" s="19">
        <v>5</v>
      </c>
      <c r="J32" s="19" t="s">
        <v>178</v>
      </c>
      <c r="K32" s="19" t="s">
        <v>209</v>
      </c>
      <c r="L32" s="19">
        <v>1029</v>
      </c>
      <c r="M32" s="28">
        <f t="shared" ca="1" si="1"/>
        <v>26</v>
      </c>
    </row>
    <row r="33" spans="1:13" x14ac:dyDescent="0.35">
      <c r="A33" s="19" t="s">
        <v>39</v>
      </c>
      <c r="B33" s="19" t="s">
        <v>178</v>
      </c>
      <c r="C33" s="19" t="s">
        <v>337</v>
      </c>
      <c r="D33" s="19" t="s">
        <v>340</v>
      </c>
      <c r="E33" s="19">
        <v>92259</v>
      </c>
      <c r="F33" s="22" t="str">
        <f t="shared" si="0"/>
        <v>92259</v>
      </c>
      <c r="G33" s="19">
        <v>92259</v>
      </c>
      <c r="H33" s="20" t="s">
        <v>178</v>
      </c>
      <c r="I33" s="19">
        <v>1</v>
      </c>
      <c r="J33" s="19" t="s">
        <v>178</v>
      </c>
      <c r="K33" s="19" t="s">
        <v>210</v>
      </c>
      <c r="L33" s="19">
        <v>1030</v>
      </c>
      <c r="M33" s="28">
        <f t="shared" ca="1" si="1"/>
        <v>0</v>
      </c>
    </row>
    <row r="34" spans="1:13" x14ac:dyDescent="0.35">
      <c r="A34" s="19" t="s">
        <v>40</v>
      </c>
      <c r="B34" s="19" t="s">
        <v>159</v>
      </c>
      <c r="C34" s="19" t="s">
        <v>167</v>
      </c>
      <c r="D34" s="19" t="s">
        <v>341</v>
      </c>
      <c r="E34" s="19">
        <v>92299</v>
      </c>
      <c r="F34" s="22" t="str">
        <f t="shared" si="0"/>
        <v>92299</v>
      </c>
      <c r="G34" s="19">
        <v>92299</v>
      </c>
      <c r="H34" s="20">
        <v>42225</v>
      </c>
      <c r="I34" s="19">
        <v>3</v>
      </c>
      <c r="J34" s="19" t="s">
        <v>180</v>
      </c>
      <c r="K34" s="19" t="s">
        <v>211</v>
      </c>
      <c r="L34" s="19">
        <v>1031</v>
      </c>
      <c r="M34" s="28">
        <f t="shared" ca="1" si="1"/>
        <v>12</v>
      </c>
    </row>
    <row r="35" spans="1:13" x14ac:dyDescent="0.35">
      <c r="A35" s="19" t="s">
        <v>41</v>
      </c>
      <c r="B35" s="19" t="s">
        <v>163</v>
      </c>
      <c r="C35" s="19" t="s">
        <v>167</v>
      </c>
      <c r="D35" s="19" t="s">
        <v>340</v>
      </c>
      <c r="E35" s="19">
        <v>95586</v>
      </c>
      <c r="F35" s="22" t="str">
        <f t="shared" ref="F35:F66" si="2">SUBSTITUTE(E35,"N/A","0")</f>
        <v>95586</v>
      </c>
      <c r="G35" s="19">
        <v>95586</v>
      </c>
      <c r="H35" s="20">
        <v>42232</v>
      </c>
      <c r="I35" s="19">
        <v>3</v>
      </c>
      <c r="J35" s="19" t="s">
        <v>179</v>
      </c>
      <c r="K35" s="19" t="s">
        <v>212</v>
      </c>
      <c r="L35" s="19">
        <v>1032</v>
      </c>
      <c r="M35" s="28">
        <f t="shared" ca="1" si="1"/>
        <v>5</v>
      </c>
    </row>
    <row r="36" spans="1:13" x14ac:dyDescent="0.35">
      <c r="A36" s="19" t="s">
        <v>42</v>
      </c>
      <c r="B36" s="19" t="s">
        <v>164</v>
      </c>
      <c r="C36" s="19" t="s">
        <v>338</v>
      </c>
      <c r="D36" s="19" t="s">
        <v>342</v>
      </c>
      <c r="E36" s="19">
        <v>95367</v>
      </c>
      <c r="F36" s="22" t="str">
        <f t="shared" si="2"/>
        <v>95367</v>
      </c>
      <c r="G36" s="19">
        <v>95367</v>
      </c>
      <c r="H36" s="20">
        <v>42239</v>
      </c>
      <c r="I36" s="19">
        <v>3</v>
      </c>
      <c r="J36" s="19" t="s">
        <v>180</v>
      </c>
      <c r="K36" s="19" t="s">
        <v>213</v>
      </c>
      <c r="L36" s="19">
        <v>1033</v>
      </c>
      <c r="M36" s="28">
        <f t="shared" ca="1" si="1"/>
        <v>29</v>
      </c>
    </row>
    <row r="37" spans="1:13" x14ac:dyDescent="0.35">
      <c r="A37" s="19" t="s">
        <v>43</v>
      </c>
      <c r="B37" s="19" t="s">
        <v>161</v>
      </c>
      <c r="C37" s="19" t="s">
        <v>336</v>
      </c>
      <c r="D37" s="19" t="s">
        <v>345</v>
      </c>
      <c r="E37" s="19">
        <v>79549</v>
      </c>
      <c r="F37" s="22" t="str">
        <f t="shared" si="2"/>
        <v>79549</v>
      </c>
      <c r="G37" s="19">
        <v>79549</v>
      </c>
      <c r="H37" s="20">
        <v>42246</v>
      </c>
      <c r="I37" s="19">
        <v>3</v>
      </c>
      <c r="J37" s="19" t="s">
        <v>178</v>
      </c>
      <c r="K37" s="19" t="s">
        <v>214</v>
      </c>
      <c r="L37" s="19">
        <v>1034</v>
      </c>
      <c r="M37" s="28">
        <f t="shared" ca="1" si="1"/>
        <v>22</v>
      </c>
    </row>
    <row r="38" spans="1:13" x14ac:dyDescent="0.35">
      <c r="A38" s="19" t="s">
        <v>44</v>
      </c>
      <c r="B38" s="19" t="s">
        <v>160</v>
      </c>
      <c r="C38" s="19" t="s">
        <v>338</v>
      </c>
      <c r="D38" s="19" t="s">
        <v>344</v>
      </c>
      <c r="E38" s="19">
        <v>54463</v>
      </c>
      <c r="F38" s="22" t="str">
        <f t="shared" si="2"/>
        <v>54463</v>
      </c>
      <c r="G38" s="19">
        <v>54463</v>
      </c>
      <c r="H38" s="20">
        <v>42253</v>
      </c>
      <c r="I38" s="19">
        <v>4</v>
      </c>
      <c r="J38" s="19" t="s">
        <v>180</v>
      </c>
      <c r="K38" s="19" t="s">
        <v>182</v>
      </c>
      <c r="L38" s="19">
        <v>1035</v>
      </c>
      <c r="M38" s="28">
        <f t="shared" ca="1" si="1"/>
        <v>15</v>
      </c>
    </row>
    <row r="39" spans="1:13" x14ac:dyDescent="0.35">
      <c r="A39" s="19" t="s">
        <v>45</v>
      </c>
      <c r="B39" s="19" t="s">
        <v>160</v>
      </c>
      <c r="C39" s="19" t="s">
        <v>169</v>
      </c>
      <c r="D39" s="19" t="s">
        <v>342</v>
      </c>
      <c r="E39" s="19">
        <v>89781</v>
      </c>
      <c r="F39" s="22" t="str">
        <f t="shared" si="2"/>
        <v>89781</v>
      </c>
      <c r="G39" s="19">
        <v>89781</v>
      </c>
      <c r="H39" s="20">
        <v>42260</v>
      </c>
      <c r="I39" s="19">
        <v>3</v>
      </c>
      <c r="J39" s="19" t="s">
        <v>181</v>
      </c>
      <c r="K39" s="19" t="s">
        <v>215</v>
      </c>
      <c r="L39" s="19">
        <v>1036</v>
      </c>
      <c r="M39" s="28">
        <f t="shared" ca="1" si="1"/>
        <v>8</v>
      </c>
    </row>
    <row r="40" spans="1:13" x14ac:dyDescent="0.35">
      <c r="A40" s="19" t="s">
        <v>46</v>
      </c>
      <c r="B40" s="19" t="s">
        <v>160</v>
      </c>
      <c r="C40" s="19" t="s">
        <v>167</v>
      </c>
      <c r="D40" s="19" t="s">
        <v>340</v>
      </c>
      <c r="E40" s="19">
        <v>64796</v>
      </c>
      <c r="F40" s="22" t="str">
        <f t="shared" si="2"/>
        <v>64796</v>
      </c>
      <c r="G40" s="19">
        <v>64796</v>
      </c>
      <c r="H40" s="20">
        <v>42267</v>
      </c>
      <c r="I40" s="19">
        <v>3</v>
      </c>
      <c r="J40" s="19" t="s">
        <v>179</v>
      </c>
      <c r="K40" s="19" t="s">
        <v>216</v>
      </c>
      <c r="L40" s="19">
        <v>1037</v>
      </c>
      <c r="M40" s="28">
        <f t="shared" ca="1" si="1"/>
        <v>1</v>
      </c>
    </row>
    <row r="41" spans="1:13" x14ac:dyDescent="0.35">
      <c r="A41" s="19" t="s">
        <v>47</v>
      </c>
      <c r="B41" s="19" t="s">
        <v>161</v>
      </c>
      <c r="C41" s="19" t="s">
        <v>337</v>
      </c>
      <c r="D41" s="19" t="s">
        <v>344</v>
      </c>
      <c r="E41" s="19">
        <v>52093</v>
      </c>
      <c r="F41" s="22" t="str">
        <f t="shared" si="2"/>
        <v>52093</v>
      </c>
      <c r="G41" s="19">
        <v>52093</v>
      </c>
      <c r="H41" s="20">
        <v>42274</v>
      </c>
      <c r="I41" s="19">
        <v>5</v>
      </c>
      <c r="J41" s="19" t="s">
        <v>178</v>
      </c>
      <c r="K41" s="19" t="s">
        <v>217</v>
      </c>
      <c r="L41" s="19">
        <v>1038</v>
      </c>
      <c r="M41" s="28">
        <f t="shared" ca="1" si="1"/>
        <v>25</v>
      </c>
    </row>
    <row r="42" spans="1:13" x14ac:dyDescent="0.35">
      <c r="A42" s="19" t="s">
        <v>48</v>
      </c>
      <c r="B42" s="19" t="s">
        <v>164</v>
      </c>
      <c r="C42" s="19" t="s">
        <v>167</v>
      </c>
      <c r="D42" s="19" t="s">
        <v>344</v>
      </c>
      <c r="E42" s="19">
        <v>48224</v>
      </c>
      <c r="F42" s="22" t="str">
        <f t="shared" si="2"/>
        <v>48224</v>
      </c>
      <c r="G42" s="19">
        <v>48224</v>
      </c>
      <c r="H42" s="20">
        <v>42281</v>
      </c>
      <c r="I42" s="19">
        <v>3</v>
      </c>
      <c r="J42" s="19" t="s">
        <v>178</v>
      </c>
      <c r="K42" s="19" t="s">
        <v>218</v>
      </c>
      <c r="L42" s="19">
        <v>1039</v>
      </c>
      <c r="M42" s="28">
        <f t="shared" ca="1" si="1"/>
        <v>17</v>
      </c>
    </row>
    <row r="43" spans="1:13" x14ac:dyDescent="0.35">
      <c r="A43" s="19" t="s">
        <v>49</v>
      </c>
      <c r="B43" s="19" t="s">
        <v>165</v>
      </c>
      <c r="C43" s="19" t="s">
        <v>335</v>
      </c>
      <c r="D43" s="19" t="s">
        <v>344</v>
      </c>
      <c r="E43" s="19" t="s">
        <v>177</v>
      </c>
      <c r="F43" s="22" t="str">
        <f t="shared" si="2"/>
        <v>0</v>
      </c>
      <c r="G43" s="19">
        <v>65605</v>
      </c>
      <c r="H43" s="20" t="s">
        <v>178</v>
      </c>
      <c r="I43" s="19">
        <v>4</v>
      </c>
      <c r="J43" s="19" t="s">
        <v>181</v>
      </c>
      <c r="K43" s="19" t="s">
        <v>219</v>
      </c>
      <c r="L43" s="19">
        <v>1040</v>
      </c>
      <c r="M43" s="28">
        <f t="shared" ca="1" si="1"/>
        <v>0</v>
      </c>
    </row>
    <row r="44" spans="1:13" x14ac:dyDescent="0.35">
      <c r="A44" s="19" t="s">
        <v>50</v>
      </c>
      <c r="B44" s="19" t="s">
        <v>160</v>
      </c>
      <c r="C44" s="19" t="s">
        <v>169</v>
      </c>
      <c r="D44" s="19" t="s">
        <v>341</v>
      </c>
      <c r="E44" s="19">
        <v>33956</v>
      </c>
      <c r="F44" s="22" t="str">
        <f t="shared" si="2"/>
        <v>33956</v>
      </c>
      <c r="G44" s="19">
        <v>33956</v>
      </c>
      <c r="H44" s="20">
        <v>42295</v>
      </c>
      <c r="I44" s="19">
        <v>3</v>
      </c>
      <c r="J44" s="19" t="s">
        <v>178</v>
      </c>
      <c r="K44" s="19" t="s">
        <v>220</v>
      </c>
      <c r="L44" s="19">
        <v>1041</v>
      </c>
      <c r="M44" s="28">
        <f t="shared" ca="1" si="1"/>
        <v>3</v>
      </c>
    </row>
    <row r="45" spans="1:13" x14ac:dyDescent="0.35">
      <c r="A45" s="19" t="s">
        <v>51</v>
      </c>
      <c r="B45" s="19" t="s">
        <v>165</v>
      </c>
      <c r="C45" s="19" t="s">
        <v>338</v>
      </c>
      <c r="D45" s="19" t="s">
        <v>345</v>
      </c>
      <c r="E45" s="19">
        <v>64913</v>
      </c>
      <c r="F45" s="22" t="str">
        <f t="shared" si="2"/>
        <v>64913</v>
      </c>
      <c r="G45" s="19">
        <v>64913</v>
      </c>
      <c r="H45" s="20">
        <v>42302</v>
      </c>
      <c r="I45" s="19">
        <v>1</v>
      </c>
      <c r="J45" s="19" t="s">
        <v>181</v>
      </c>
      <c r="K45" s="19" t="s">
        <v>221</v>
      </c>
      <c r="L45" s="19">
        <v>1042</v>
      </c>
      <c r="M45" s="28">
        <f t="shared" ca="1" si="1"/>
        <v>27</v>
      </c>
    </row>
    <row r="46" spans="1:13" x14ac:dyDescent="0.35">
      <c r="A46" s="19" t="s">
        <v>52</v>
      </c>
      <c r="B46" s="19" t="s">
        <v>160</v>
      </c>
      <c r="C46" s="19" t="s">
        <v>337</v>
      </c>
      <c r="D46" s="19" t="s">
        <v>345</v>
      </c>
      <c r="E46" s="19">
        <v>35326</v>
      </c>
      <c r="F46" s="22" t="str">
        <f t="shared" si="2"/>
        <v>35326</v>
      </c>
      <c r="G46" s="19">
        <v>35326</v>
      </c>
      <c r="H46" s="20">
        <v>42309</v>
      </c>
      <c r="I46" s="19">
        <v>3</v>
      </c>
      <c r="J46" s="19" t="s">
        <v>181</v>
      </c>
      <c r="K46" s="19" t="s">
        <v>222</v>
      </c>
      <c r="L46" s="19">
        <v>1043</v>
      </c>
      <c r="M46" s="28">
        <f t="shared" ca="1" si="1"/>
        <v>20</v>
      </c>
    </row>
    <row r="47" spans="1:13" x14ac:dyDescent="0.35">
      <c r="A47" s="19" t="s">
        <v>53</v>
      </c>
      <c r="B47" s="19" t="s">
        <v>164</v>
      </c>
      <c r="C47" s="19" t="s">
        <v>335</v>
      </c>
      <c r="D47" s="19" t="s">
        <v>340</v>
      </c>
      <c r="E47" s="19">
        <v>81610</v>
      </c>
      <c r="F47" s="22" t="str">
        <f t="shared" si="2"/>
        <v>81610</v>
      </c>
      <c r="G47" s="19">
        <v>81610</v>
      </c>
      <c r="H47" s="20">
        <v>42316</v>
      </c>
      <c r="I47" s="19">
        <v>1</v>
      </c>
      <c r="J47" s="19" t="s">
        <v>178</v>
      </c>
      <c r="K47" s="19" t="s">
        <v>223</v>
      </c>
      <c r="L47" s="19">
        <v>1044</v>
      </c>
      <c r="M47" s="28">
        <f t="shared" ca="1" si="1"/>
        <v>13</v>
      </c>
    </row>
    <row r="48" spans="1:13" x14ac:dyDescent="0.35">
      <c r="A48" s="19" t="s">
        <v>54</v>
      </c>
      <c r="B48" s="19" t="s">
        <v>178</v>
      </c>
      <c r="C48" s="19" t="s">
        <v>167</v>
      </c>
      <c r="D48" s="19" t="s">
        <v>340</v>
      </c>
      <c r="E48" s="19">
        <v>58962</v>
      </c>
      <c r="F48" s="22" t="str">
        <f t="shared" si="2"/>
        <v>58962</v>
      </c>
      <c r="G48" s="19">
        <v>58962</v>
      </c>
      <c r="H48" s="20">
        <v>42323</v>
      </c>
      <c r="I48" s="19">
        <v>3</v>
      </c>
      <c r="J48" s="19" t="s">
        <v>179</v>
      </c>
      <c r="K48" s="19" t="s">
        <v>183</v>
      </c>
      <c r="L48" s="19">
        <v>1045</v>
      </c>
      <c r="M48" s="28">
        <f t="shared" ca="1" si="1"/>
        <v>6</v>
      </c>
    </row>
    <row r="49" spans="1:13" x14ac:dyDescent="0.35">
      <c r="A49" s="19" t="s">
        <v>55</v>
      </c>
      <c r="B49" s="19" t="s">
        <v>164</v>
      </c>
      <c r="C49" s="19" t="s">
        <v>169</v>
      </c>
      <c r="D49" s="19" t="s">
        <v>341</v>
      </c>
      <c r="E49" s="19">
        <v>92701</v>
      </c>
      <c r="F49" s="22" t="str">
        <f t="shared" si="2"/>
        <v>92701</v>
      </c>
      <c r="G49" s="19">
        <v>92701</v>
      </c>
      <c r="H49" s="20">
        <v>42330</v>
      </c>
      <c r="I49" s="19">
        <v>3</v>
      </c>
      <c r="J49" s="19" t="s">
        <v>179</v>
      </c>
      <c r="K49" s="19" t="s">
        <v>224</v>
      </c>
      <c r="L49" s="19">
        <v>1046</v>
      </c>
      <c r="M49" s="28">
        <f t="shared" ca="1" si="1"/>
        <v>30</v>
      </c>
    </row>
    <row r="50" spans="1:13" x14ac:dyDescent="0.35">
      <c r="A50" s="19" t="s">
        <v>56</v>
      </c>
      <c r="B50" s="19" t="s">
        <v>164</v>
      </c>
      <c r="C50" s="19" t="s">
        <v>167</v>
      </c>
      <c r="D50" s="19" t="s">
        <v>343</v>
      </c>
      <c r="E50" s="19">
        <v>58245</v>
      </c>
      <c r="F50" s="22" t="str">
        <f t="shared" si="2"/>
        <v>58245</v>
      </c>
      <c r="G50" s="19">
        <v>58245</v>
      </c>
      <c r="H50" s="20">
        <v>42337</v>
      </c>
      <c r="I50" s="19">
        <v>4</v>
      </c>
      <c r="J50" s="19" t="s">
        <v>178</v>
      </c>
      <c r="K50" s="19" t="s">
        <v>225</v>
      </c>
      <c r="L50" s="19">
        <v>1047</v>
      </c>
      <c r="M50" s="28">
        <f t="shared" ca="1" si="1"/>
        <v>23</v>
      </c>
    </row>
    <row r="51" spans="1:13" x14ac:dyDescent="0.35">
      <c r="A51" s="19" t="s">
        <v>57</v>
      </c>
      <c r="B51" s="19" t="s">
        <v>161</v>
      </c>
      <c r="C51" s="19" t="s">
        <v>335</v>
      </c>
      <c r="D51" s="19" t="s">
        <v>340</v>
      </c>
      <c r="E51" s="19">
        <v>66513</v>
      </c>
      <c r="F51" s="22" t="str">
        <f t="shared" si="2"/>
        <v>66513</v>
      </c>
      <c r="G51" s="19">
        <v>66513</v>
      </c>
      <c r="H51" s="20">
        <v>42344</v>
      </c>
      <c r="I51" s="19">
        <v>2</v>
      </c>
      <c r="J51" s="19" t="s">
        <v>179</v>
      </c>
      <c r="K51" s="19" t="s">
        <v>187</v>
      </c>
      <c r="L51" s="19">
        <v>1048</v>
      </c>
      <c r="M51" s="28">
        <f t="shared" ca="1" si="1"/>
        <v>15</v>
      </c>
    </row>
    <row r="52" spans="1:13" x14ac:dyDescent="0.35">
      <c r="A52" s="19" t="s">
        <v>58</v>
      </c>
      <c r="B52" s="19" t="s">
        <v>159</v>
      </c>
      <c r="C52" s="19" t="s">
        <v>167</v>
      </c>
      <c r="D52" s="19" t="s">
        <v>341</v>
      </c>
      <c r="E52" s="19">
        <v>78720</v>
      </c>
      <c r="F52" s="22" t="str">
        <f t="shared" si="2"/>
        <v>78720</v>
      </c>
      <c r="G52" s="19">
        <v>78720</v>
      </c>
      <c r="H52" s="20">
        <v>42351</v>
      </c>
      <c r="I52" s="19">
        <v>5</v>
      </c>
      <c r="J52" s="19" t="s">
        <v>181</v>
      </c>
      <c r="K52" s="19" t="s">
        <v>219</v>
      </c>
      <c r="L52" s="19">
        <v>1049</v>
      </c>
      <c r="M52" s="28">
        <f t="shared" ca="1" si="1"/>
        <v>8</v>
      </c>
    </row>
    <row r="53" spans="1:13" x14ac:dyDescent="0.35">
      <c r="A53" s="19" t="s">
        <v>59</v>
      </c>
      <c r="B53" s="19" t="s">
        <v>164</v>
      </c>
      <c r="C53" s="19" t="s">
        <v>338</v>
      </c>
      <c r="D53" s="19" t="s">
        <v>340</v>
      </c>
      <c r="E53" s="19">
        <v>30686</v>
      </c>
      <c r="F53" s="22" t="str">
        <f t="shared" si="2"/>
        <v>30686</v>
      </c>
      <c r="G53" s="19">
        <v>30686</v>
      </c>
      <c r="H53" s="20" t="s">
        <v>178</v>
      </c>
      <c r="I53" s="19">
        <v>2</v>
      </c>
      <c r="J53" s="19" t="s">
        <v>181</v>
      </c>
      <c r="K53" s="19" t="s">
        <v>226</v>
      </c>
      <c r="L53" s="19">
        <v>1050</v>
      </c>
      <c r="M53" s="28">
        <f t="shared" ca="1" si="1"/>
        <v>0</v>
      </c>
    </row>
    <row r="54" spans="1:13" x14ac:dyDescent="0.35">
      <c r="A54" s="19" t="s">
        <v>60</v>
      </c>
      <c r="B54" s="19" t="s">
        <v>163</v>
      </c>
      <c r="C54" s="19" t="s">
        <v>336</v>
      </c>
      <c r="D54" s="19" t="s">
        <v>343</v>
      </c>
      <c r="E54" s="19">
        <v>39423</v>
      </c>
      <c r="F54" s="22" t="str">
        <f t="shared" si="2"/>
        <v>39423</v>
      </c>
      <c r="G54" s="19">
        <v>39423</v>
      </c>
      <c r="H54" s="20">
        <v>42365</v>
      </c>
      <c r="I54" s="19">
        <v>5</v>
      </c>
      <c r="J54" s="19" t="s">
        <v>178</v>
      </c>
      <c r="K54" s="19" t="s">
        <v>227</v>
      </c>
      <c r="L54" s="19">
        <v>1051</v>
      </c>
      <c r="M54" s="28">
        <f t="shared" ca="1" si="1"/>
        <v>25</v>
      </c>
    </row>
    <row r="55" spans="1:13" x14ac:dyDescent="0.35">
      <c r="A55" s="19" t="s">
        <v>61</v>
      </c>
      <c r="B55" s="19" t="s">
        <v>159</v>
      </c>
      <c r="C55" s="19" t="s">
        <v>337</v>
      </c>
      <c r="D55" s="19" t="s">
        <v>340</v>
      </c>
      <c r="E55" s="19">
        <v>30280</v>
      </c>
      <c r="F55" s="22" t="str">
        <f t="shared" si="2"/>
        <v>30280</v>
      </c>
      <c r="G55" s="19">
        <v>30280</v>
      </c>
      <c r="H55" s="20">
        <v>42372</v>
      </c>
      <c r="I55" s="19">
        <v>1</v>
      </c>
      <c r="J55" s="19" t="s">
        <v>178</v>
      </c>
      <c r="K55" s="19" t="s">
        <v>228</v>
      </c>
      <c r="L55" s="19">
        <v>1052</v>
      </c>
      <c r="M55" s="28">
        <f t="shared" ca="1" si="1"/>
        <v>18</v>
      </c>
    </row>
    <row r="56" spans="1:13" x14ac:dyDescent="0.35">
      <c r="A56" s="19" t="s">
        <v>62</v>
      </c>
      <c r="B56" s="19" t="s">
        <v>159</v>
      </c>
      <c r="C56" s="19" t="s">
        <v>335</v>
      </c>
      <c r="D56" s="19" t="s">
        <v>344</v>
      </c>
      <c r="E56" s="19">
        <v>33352</v>
      </c>
      <c r="F56" s="22" t="str">
        <f t="shared" si="2"/>
        <v>33352</v>
      </c>
      <c r="G56" s="19">
        <v>33352</v>
      </c>
      <c r="H56" s="20">
        <v>42379</v>
      </c>
      <c r="I56" s="19">
        <v>3</v>
      </c>
      <c r="J56" s="19" t="s">
        <v>181</v>
      </c>
      <c r="K56" s="19" t="s">
        <v>200</v>
      </c>
      <c r="L56" s="19">
        <v>1053</v>
      </c>
      <c r="M56" s="28">
        <f t="shared" ca="1" si="1"/>
        <v>11</v>
      </c>
    </row>
    <row r="57" spans="1:13" x14ac:dyDescent="0.35">
      <c r="A57" s="19" t="s">
        <v>63</v>
      </c>
      <c r="B57" s="19" t="s">
        <v>165</v>
      </c>
      <c r="C57" s="19" t="s">
        <v>337</v>
      </c>
      <c r="D57" s="19" t="s">
        <v>344</v>
      </c>
      <c r="E57" s="19">
        <v>75633</v>
      </c>
      <c r="F57" s="22" t="str">
        <f t="shared" si="2"/>
        <v>75633</v>
      </c>
      <c r="G57" s="19">
        <v>75633</v>
      </c>
      <c r="H57" s="20">
        <v>42386</v>
      </c>
      <c r="I57" s="19">
        <v>5</v>
      </c>
      <c r="J57" s="19" t="s">
        <v>179</v>
      </c>
      <c r="K57" s="19" t="s">
        <v>229</v>
      </c>
      <c r="L57" s="19">
        <v>1054</v>
      </c>
      <c r="M57" s="28">
        <f t="shared" ca="1" si="1"/>
        <v>4</v>
      </c>
    </row>
    <row r="58" spans="1:13" x14ac:dyDescent="0.35">
      <c r="A58" s="19" t="s">
        <v>64</v>
      </c>
      <c r="B58" s="19" t="s">
        <v>164</v>
      </c>
      <c r="C58" s="19" t="s">
        <v>338</v>
      </c>
      <c r="D58" s="19" t="s">
        <v>342</v>
      </c>
      <c r="E58" s="19">
        <v>74815</v>
      </c>
      <c r="F58" s="22" t="str">
        <f t="shared" si="2"/>
        <v>74815</v>
      </c>
      <c r="G58" s="19">
        <v>74815</v>
      </c>
      <c r="H58" s="20">
        <v>42393</v>
      </c>
      <c r="I58" s="19">
        <v>5</v>
      </c>
      <c r="J58" s="19" t="s">
        <v>181</v>
      </c>
      <c r="K58" s="19" t="s">
        <v>230</v>
      </c>
      <c r="L58" s="19">
        <v>1055</v>
      </c>
      <c r="M58" s="28">
        <f t="shared" ca="1" si="1"/>
        <v>28</v>
      </c>
    </row>
    <row r="59" spans="1:13" x14ac:dyDescent="0.35">
      <c r="A59" s="19" t="s">
        <v>65</v>
      </c>
      <c r="B59" s="19" t="s">
        <v>161</v>
      </c>
      <c r="C59" s="19" t="s">
        <v>336</v>
      </c>
      <c r="D59" s="19" t="s">
        <v>345</v>
      </c>
      <c r="E59" s="19">
        <v>60011</v>
      </c>
      <c r="F59" s="22" t="str">
        <f t="shared" si="2"/>
        <v>60011</v>
      </c>
      <c r="G59" s="19">
        <v>60011</v>
      </c>
      <c r="H59" s="20">
        <v>42400</v>
      </c>
      <c r="I59" s="19">
        <v>1</v>
      </c>
      <c r="J59" s="19" t="s">
        <v>180</v>
      </c>
      <c r="K59" s="19" t="s">
        <v>231</v>
      </c>
      <c r="L59" s="19">
        <v>1056</v>
      </c>
      <c r="M59" s="28">
        <f t="shared" ca="1" si="1"/>
        <v>21</v>
      </c>
    </row>
    <row r="60" spans="1:13" x14ac:dyDescent="0.35">
      <c r="A60" s="19" t="s">
        <v>66</v>
      </c>
      <c r="B60" s="19" t="s">
        <v>159</v>
      </c>
      <c r="C60" s="19" t="s">
        <v>338</v>
      </c>
      <c r="D60" s="19" t="s">
        <v>343</v>
      </c>
      <c r="E60" s="19">
        <v>96949</v>
      </c>
      <c r="F60" s="22" t="str">
        <f t="shared" si="2"/>
        <v>96949</v>
      </c>
      <c r="G60" s="19">
        <v>96949</v>
      </c>
      <c r="H60" s="20">
        <v>42407</v>
      </c>
      <c r="I60" s="19">
        <v>3</v>
      </c>
      <c r="J60" s="19" t="s">
        <v>178</v>
      </c>
      <c r="K60" s="19" t="s">
        <v>207</v>
      </c>
      <c r="L60" s="19">
        <v>1057</v>
      </c>
      <c r="M60" s="28">
        <f t="shared" ca="1" si="1"/>
        <v>14</v>
      </c>
    </row>
    <row r="61" spans="1:13" x14ac:dyDescent="0.35">
      <c r="A61" s="19" t="s">
        <v>67</v>
      </c>
      <c r="B61" s="19" t="s">
        <v>163</v>
      </c>
      <c r="C61" s="19" t="s">
        <v>337</v>
      </c>
      <c r="D61" s="19" t="s">
        <v>340</v>
      </c>
      <c r="E61" s="19">
        <v>84924</v>
      </c>
      <c r="F61" s="22" t="str">
        <f t="shared" si="2"/>
        <v>84924</v>
      </c>
      <c r="G61" s="19">
        <v>84924</v>
      </c>
      <c r="H61" s="20">
        <v>42414</v>
      </c>
      <c r="I61" s="19">
        <v>5</v>
      </c>
      <c r="J61" s="19" t="s">
        <v>180</v>
      </c>
      <c r="K61" s="19" t="s">
        <v>232</v>
      </c>
      <c r="L61" s="19">
        <v>1058</v>
      </c>
      <c r="M61" s="28">
        <f t="shared" ca="1" si="1"/>
        <v>7</v>
      </c>
    </row>
    <row r="62" spans="1:13" x14ac:dyDescent="0.35">
      <c r="A62" s="19" t="s">
        <v>68</v>
      </c>
      <c r="B62" s="19" t="s">
        <v>163</v>
      </c>
      <c r="C62" s="19" t="s">
        <v>335</v>
      </c>
      <c r="D62" s="19" t="s">
        <v>342</v>
      </c>
      <c r="E62" s="19">
        <v>82033</v>
      </c>
      <c r="F62" s="22" t="str">
        <f t="shared" si="2"/>
        <v>82033</v>
      </c>
      <c r="G62" s="19">
        <v>82033</v>
      </c>
      <c r="H62" s="20">
        <v>42421</v>
      </c>
      <c r="I62" s="19">
        <v>1</v>
      </c>
      <c r="J62" s="19" t="s">
        <v>178</v>
      </c>
      <c r="K62" s="19" t="s">
        <v>223</v>
      </c>
      <c r="L62" s="19">
        <v>1059</v>
      </c>
      <c r="M62" s="28">
        <f t="shared" ca="1" si="1"/>
        <v>0</v>
      </c>
    </row>
    <row r="63" spans="1:13" x14ac:dyDescent="0.35">
      <c r="A63" s="19" t="s">
        <v>69</v>
      </c>
      <c r="B63" s="19" t="s">
        <v>178</v>
      </c>
      <c r="C63" s="19" t="s">
        <v>337</v>
      </c>
      <c r="D63" s="19" t="s">
        <v>341</v>
      </c>
      <c r="E63" s="19" t="s">
        <v>177</v>
      </c>
      <c r="F63" s="22" t="str">
        <f t="shared" si="2"/>
        <v>0</v>
      </c>
      <c r="G63" s="19">
        <v>63687</v>
      </c>
      <c r="H63" s="20" t="s">
        <v>178</v>
      </c>
      <c r="I63" s="19">
        <v>5</v>
      </c>
      <c r="J63" s="19" t="s">
        <v>178</v>
      </c>
      <c r="K63" s="19" t="s">
        <v>233</v>
      </c>
      <c r="L63" s="19">
        <v>1060</v>
      </c>
      <c r="M63" s="28">
        <f t="shared" ca="1" si="1"/>
        <v>0</v>
      </c>
    </row>
    <row r="64" spans="1:13" x14ac:dyDescent="0.35">
      <c r="A64" s="19" t="s">
        <v>70</v>
      </c>
      <c r="B64" s="19" t="s">
        <v>159</v>
      </c>
      <c r="C64" s="19" t="s">
        <v>338</v>
      </c>
      <c r="D64" s="19" t="s">
        <v>345</v>
      </c>
      <c r="E64" s="19">
        <v>31499</v>
      </c>
      <c r="F64" s="22" t="str">
        <f t="shared" si="2"/>
        <v>31499</v>
      </c>
      <c r="G64" s="19">
        <v>31499</v>
      </c>
      <c r="H64" s="20">
        <v>42435</v>
      </c>
      <c r="I64" s="19">
        <v>2</v>
      </c>
      <c r="J64" s="19" t="s">
        <v>178</v>
      </c>
      <c r="K64" s="19" t="s">
        <v>215</v>
      </c>
      <c r="L64" s="19">
        <v>1061</v>
      </c>
      <c r="M64" s="28">
        <f t="shared" ca="1" si="1"/>
        <v>15</v>
      </c>
    </row>
    <row r="65" spans="1:13" x14ac:dyDescent="0.35">
      <c r="A65" s="19" t="s">
        <v>71</v>
      </c>
      <c r="B65" s="19" t="s">
        <v>164</v>
      </c>
      <c r="C65" s="19" t="s">
        <v>169</v>
      </c>
      <c r="D65" s="19" t="s">
        <v>344</v>
      </c>
      <c r="E65" s="19">
        <v>97981</v>
      </c>
      <c r="F65" s="22" t="str">
        <f t="shared" si="2"/>
        <v>97981</v>
      </c>
      <c r="G65" s="19">
        <v>97981</v>
      </c>
      <c r="H65" s="20">
        <v>42442</v>
      </c>
      <c r="I65" s="19">
        <v>5</v>
      </c>
      <c r="J65" s="19" t="s">
        <v>181</v>
      </c>
      <c r="K65" s="19" t="s">
        <v>234</v>
      </c>
      <c r="L65" s="19">
        <v>1062</v>
      </c>
      <c r="M65" s="28">
        <f t="shared" ca="1" si="1"/>
        <v>8</v>
      </c>
    </row>
    <row r="66" spans="1:13" x14ac:dyDescent="0.35">
      <c r="A66" s="19" t="s">
        <v>72</v>
      </c>
      <c r="B66" s="19" t="s">
        <v>159</v>
      </c>
      <c r="C66" s="19" t="s">
        <v>167</v>
      </c>
      <c r="D66" s="19" t="s">
        <v>342</v>
      </c>
      <c r="E66" s="19">
        <v>36541</v>
      </c>
      <c r="F66" s="22" t="str">
        <f t="shared" si="2"/>
        <v>36541</v>
      </c>
      <c r="G66" s="19">
        <v>36541</v>
      </c>
      <c r="H66" s="20">
        <v>42449</v>
      </c>
      <c r="I66" s="19">
        <v>2</v>
      </c>
      <c r="J66" s="19" t="s">
        <v>179</v>
      </c>
      <c r="K66" s="19" t="s">
        <v>235</v>
      </c>
      <c r="L66" s="19">
        <v>1063</v>
      </c>
      <c r="M66" s="28">
        <f t="shared" ca="1" si="1"/>
        <v>1</v>
      </c>
    </row>
    <row r="67" spans="1:13" x14ac:dyDescent="0.35">
      <c r="A67" s="19" t="s">
        <v>73</v>
      </c>
      <c r="B67" s="19" t="s">
        <v>161</v>
      </c>
      <c r="C67" s="19" t="s">
        <v>169</v>
      </c>
      <c r="D67" s="19" t="s">
        <v>343</v>
      </c>
      <c r="E67" s="19">
        <v>84737</v>
      </c>
      <c r="F67" s="22" t="str">
        <f t="shared" ref="F67:F98" si="3">SUBSTITUTE(E67,"N/A","0")</f>
        <v>84737</v>
      </c>
      <c r="G67" s="19">
        <v>84737</v>
      </c>
      <c r="H67" s="20">
        <v>42456</v>
      </c>
      <c r="I67" s="19">
        <v>1</v>
      </c>
      <c r="J67" s="19" t="s">
        <v>180</v>
      </c>
      <c r="K67" s="19" t="s">
        <v>236</v>
      </c>
      <c r="L67" s="19">
        <v>1064</v>
      </c>
      <c r="M67" s="28">
        <f t="shared" ca="1" si="1"/>
        <v>25</v>
      </c>
    </row>
    <row r="68" spans="1:13" x14ac:dyDescent="0.35">
      <c r="A68" s="19" t="s">
        <v>74</v>
      </c>
      <c r="B68" s="19" t="s">
        <v>163</v>
      </c>
      <c r="C68" s="19" t="s">
        <v>335</v>
      </c>
      <c r="D68" s="19" t="s">
        <v>343</v>
      </c>
      <c r="E68" s="19">
        <v>33468</v>
      </c>
      <c r="F68" s="22" t="str">
        <f t="shared" si="3"/>
        <v>33468</v>
      </c>
      <c r="G68" s="19">
        <v>33468</v>
      </c>
      <c r="H68" s="20">
        <v>42463</v>
      </c>
      <c r="I68" s="19">
        <v>4</v>
      </c>
      <c r="J68" s="19" t="s">
        <v>180</v>
      </c>
      <c r="K68" s="19" t="s">
        <v>237</v>
      </c>
      <c r="L68" s="19">
        <v>1065</v>
      </c>
      <c r="M68" s="28">
        <f t="shared" ca="1" si="1"/>
        <v>18</v>
      </c>
    </row>
    <row r="69" spans="1:13" x14ac:dyDescent="0.35">
      <c r="A69" s="19" t="s">
        <v>75</v>
      </c>
      <c r="B69" s="19" t="s">
        <v>163</v>
      </c>
      <c r="C69" s="19" t="s">
        <v>338</v>
      </c>
      <c r="D69" s="19" t="s">
        <v>345</v>
      </c>
      <c r="E69" s="19">
        <v>96365</v>
      </c>
      <c r="F69" s="22" t="str">
        <f t="shared" si="3"/>
        <v>96365</v>
      </c>
      <c r="G69" s="19">
        <v>96365</v>
      </c>
      <c r="H69" s="20">
        <v>42470</v>
      </c>
      <c r="I69" s="19">
        <v>3</v>
      </c>
      <c r="J69" s="19" t="s">
        <v>179</v>
      </c>
      <c r="K69" s="19" t="s">
        <v>238</v>
      </c>
      <c r="L69" s="19">
        <v>1066</v>
      </c>
      <c r="M69" s="28">
        <f t="shared" ref="M69:M132" ca="1" si="4">IF(H69="Unknown",0,DATEDIF(H69, TODAY(), "MD"))</f>
        <v>11</v>
      </c>
    </row>
    <row r="70" spans="1:13" x14ac:dyDescent="0.35">
      <c r="A70" s="19" t="s">
        <v>76</v>
      </c>
      <c r="B70" s="19" t="s">
        <v>160</v>
      </c>
      <c r="C70" s="19" t="s">
        <v>336</v>
      </c>
      <c r="D70" s="19" t="s">
        <v>343</v>
      </c>
      <c r="E70" s="19">
        <v>61942</v>
      </c>
      <c r="F70" s="22" t="str">
        <f t="shared" si="3"/>
        <v>61942</v>
      </c>
      <c r="G70" s="19">
        <v>61942</v>
      </c>
      <c r="H70" s="20">
        <v>42477</v>
      </c>
      <c r="I70" s="19">
        <v>3</v>
      </c>
      <c r="J70" s="19" t="s">
        <v>181</v>
      </c>
      <c r="K70" s="19" t="s">
        <v>239</v>
      </c>
      <c r="L70" s="19">
        <v>1067</v>
      </c>
      <c r="M70" s="28">
        <f t="shared" ca="1" si="4"/>
        <v>4</v>
      </c>
    </row>
    <row r="71" spans="1:13" x14ac:dyDescent="0.35">
      <c r="A71" s="19" t="s">
        <v>77</v>
      </c>
      <c r="B71" s="19" t="s">
        <v>163</v>
      </c>
      <c r="C71" s="19" t="s">
        <v>335</v>
      </c>
      <c r="D71" s="19" t="s">
        <v>344</v>
      </c>
      <c r="E71" s="19">
        <v>41467</v>
      </c>
      <c r="F71" s="22" t="str">
        <f t="shared" si="3"/>
        <v>41467</v>
      </c>
      <c r="G71" s="19">
        <v>41467</v>
      </c>
      <c r="H71" s="20">
        <v>42484</v>
      </c>
      <c r="I71" s="19">
        <v>2</v>
      </c>
      <c r="J71" s="19" t="s">
        <v>178</v>
      </c>
      <c r="K71" s="19" t="s">
        <v>201</v>
      </c>
      <c r="L71" s="19">
        <v>1068</v>
      </c>
      <c r="M71" s="28">
        <f t="shared" ca="1" si="4"/>
        <v>28</v>
      </c>
    </row>
    <row r="72" spans="1:13" x14ac:dyDescent="0.35">
      <c r="A72" s="19" t="s">
        <v>78</v>
      </c>
      <c r="B72" s="19" t="s">
        <v>165</v>
      </c>
      <c r="C72" s="19" t="s">
        <v>335</v>
      </c>
      <c r="D72" s="19" t="s">
        <v>343</v>
      </c>
      <c r="E72" s="19">
        <v>77096</v>
      </c>
      <c r="F72" s="22" t="str">
        <f t="shared" si="3"/>
        <v>77096</v>
      </c>
      <c r="G72" s="19">
        <v>77096</v>
      </c>
      <c r="H72" s="20">
        <v>42491</v>
      </c>
      <c r="I72" s="19">
        <v>1</v>
      </c>
      <c r="J72" s="19" t="s">
        <v>178</v>
      </c>
      <c r="K72" s="19" t="s">
        <v>240</v>
      </c>
      <c r="L72" s="19">
        <v>1069</v>
      </c>
      <c r="M72" s="28">
        <f t="shared" ca="1" si="4"/>
        <v>20</v>
      </c>
    </row>
    <row r="73" spans="1:13" x14ac:dyDescent="0.35">
      <c r="A73" s="19" t="s">
        <v>79</v>
      </c>
      <c r="B73" s="19" t="s">
        <v>159</v>
      </c>
      <c r="C73" s="19" t="s">
        <v>336</v>
      </c>
      <c r="D73" s="19" t="s">
        <v>345</v>
      </c>
      <c r="E73" s="19">
        <v>69952</v>
      </c>
      <c r="F73" s="22" t="str">
        <f t="shared" si="3"/>
        <v>69952</v>
      </c>
      <c r="G73" s="19">
        <v>69952</v>
      </c>
      <c r="H73" s="20">
        <v>42498</v>
      </c>
      <c r="I73" s="19">
        <v>5</v>
      </c>
      <c r="J73" s="19" t="s">
        <v>181</v>
      </c>
      <c r="K73" s="19" t="s">
        <v>182</v>
      </c>
      <c r="L73" s="19">
        <v>1070</v>
      </c>
      <c r="M73" s="28">
        <f t="shared" ca="1" si="4"/>
        <v>13</v>
      </c>
    </row>
    <row r="74" spans="1:13" x14ac:dyDescent="0.35">
      <c r="A74" s="19" t="s">
        <v>80</v>
      </c>
      <c r="B74" s="19" t="s">
        <v>159</v>
      </c>
      <c r="C74" s="19" t="s">
        <v>337</v>
      </c>
      <c r="D74" s="19" t="s">
        <v>342</v>
      </c>
      <c r="E74" s="19">
        <v>85065</v>
      </c>
      <c r="F74" s="22" t="str">
        <f t="shared" si="3"/>
        <v>85065</v>
      </c>
      <c r="G74" s="19">
        <v>85065</v>
      </c>
      <c r="H74" s="20">
        <v>42505</v>
      </c>
      <c r="I74" s="19">
        <v>3</v>
      </c>
      <c r="J74" s="19" t="s">
        <v>178</v>
      </c>
      <c r="K74" s="19" t="s">
        <v>241</v>
      </c>
      <c r="L74" s="19">
        <v>1071</v>
      </c>
      <c r="M74" s="28">
        <f t="shared" ca="1" si="4"/>
        <v>6</v>
      </c>
    </row>
    <row r="75" spans="1:13" x14ac:dyDescent="0.35">
      <c r="A75" s="19" t="s">
        <v>81</v>
      </c>
      <c r="B75" s="19" t="s">
        <v>165</v>
      </c>
      <c r="C75" s="19" t="s">
        <v>337</v>
      </c>
      <c r="D75" s="19" t="s">
        <v>343</v>
      </c>
      <c r="E75" s="19">
        <v>56512</v>
      </c>
      <c r="F75" s="22" t="str">
        <f t="shared" si="3"/>
        <v>56512</v>
      </c>
      <c r="G75" s="19">
        <v>56512</v>
      </c>
      <c r="H75" s="20">
        <v>42512</v>
      </c>
      <c r="I75" s="19">
        <v>3</v>
      </c>
      <c r="J75" s="19" t="s">
        <v>179</v>
      </c>
      <c r="K75" s="19" t="s">
        <v>190</v>
      </c>
      <c r="L75" s="19">
        <v>1072</v>
      </c>
      <c r="M75" s="28">
        <f t="shared" ca="1" si="4"/>
        <v>30</v>
      </c>
    </row>
    <row r="76" spans="1:13" x14ac:dyDescent="0.35">
      <c r="A76" s="19" t="s">
        <v>82</v>
      </c>
      <c r="B76" s="19" t="s">
        <v>161</v>
      </c>
      <c r="C76" s="19" t="s">
        <v>336</v>
      </c>
      <c r="D76" s="19" t="s">
        <v>343</v>
      </c>
      <c r="E76" s="19">
        <v>91101</v>
      </c>
      <c r="F76" s="22" t="str">
        <f t="shared" si="3"/>
        <v>91101</v>
      </c>
      <c r="G76" s="19">
        <v>91101</v>
      </c>
      <c r="H76" s="20">
        <v>42519</v>
      </c>
      <c r="I76" s="19">
        <v>4</v>
      </c>
      <c r="J76" s="19" t="s">
        <v>181</v>
      </c>
      <c r="K76" s="19" t="s">
        <v>234</v>
      </c>
      <c r="L76" s="19">
        <v>1073</v>
      </c>
      <c r="M76" s="28">
        <f t="shared" ca="1" si="4"/>
        <v>23</v>
      </c>
    </row>
    <row r="77" spans="1:13" x14ac:dyDescent="0.35">
      <c r="A77" s="19" t="s">
        <v>83</v>
      </c>
      <c r="B77" s="19" t="s">
        <v>163</v>
      </c>
      <c r="C77" s="19" t="s">
        <v>338</v>
      </c>
      <c r="D77" s="19" t="s">
        <v>341</v>
      </c>
      <c r="E77" s="19">
        <v>41243</v>
      </c>
      <c r="F77" s="22" t="str">
        <f t="shared" si="3"/>
        <v>41243</v>
      </c>
      <c r="G77" s="19">
        <v>41243</v>
      </c>
      <c r="H77" s="20">
        <v>42526</v>
      </c>
      <c r="I77" s="19">
        <v>3</v>
      </c>
      <c r="J77" s="19" t="s">
        <v>178</v>
      </c>
      <c r="K77" s="19" t="s">
        <v>211</v>
      </c>
      <c r="L77" s="19">
        <v>1074</v>
      </c>
      <c r="M77" s="28">
        <f t="shared" ca="1" si="4"/>
        <v>16</v>
      </c>
    </row>
    <row r="78" spans="1:13" x14ac:dyDescent="0.35">
      <c r="A78" s="19" t="s">
        <v>84</v>
      </c>
      <c r="B78" s="19" t="s">
        <v>178</v>
      </c>
      <c r="C78" s="19" t="s">
        <v>336</v>
      </c>
      <c r="D78" s="19" t="s">
        <v>340</v>
      </c>
      <c r="E78" s="19">
        <v>96142</v>
      </c>
      <c r="F78" s="22" t="str">
        <f t="shared" si="3"/>
        <v>96142</v>
      </c>
      <c r="G78" s="19">
        <v>96142</v>
      </c>
      <c r="H78" s="20">
        <v>42533</v>
      </c>
      <c r="I78" s="19">
        <v>1</v>
      </c>
      <c r="J78" s="19" t="s">
        <v>179</v>
      </c>
      <c r="K78" s="19" t="s">
        <v>242</v>
      </c>
      <c r="L78" s="19">
        <v>1075</v>
      </c>
      <c r="M78" s="28">
        <f t="shared" ca="1" si="4"/>
        <v>9</v>
      </c>
    </row>
    <row r="79" spans="1:13" x14ac:dyDescent="0.35">
      <c r="A79" s="19" t="s">
        <v>85</v>
      </c>
      <c r="B79" s="19" t="s">
        <v>159</v>
      </c>
      <c r="C79" s="19" t="s">
        <v>169</v>
      </c>
      <c r="D79" s="19" t="s">
        <v>343</v>
      </c>
      <c r="E79" s="19">
        <v>94301</v>
      </c>
      <c r="F79" s="22" t="str">
        <f t="shared" si="3"/>
        <v>94301</v>
      </c>
      <c r="G79" s="19">
        <v>94301</v>
      </c>
      <c r="H79" s="20">
        <v>42540</v>
      </c>
      <c r="I79" s="19">
        <v>1</v>
      </c>
      <c r="J79" s="19" t="s">
        <v>180</v>
      </c>
      <c r="K79" s="19" t="s">
        <v>223</v>
      </c>
      <c r="L79" s="19">
        <v>1076</v>
      </c>
      <c r="M79" s="28">
        <f t="shared" ca="1" si="4"/>
        <v>2</v>
      </c>
    </row>
    <row r="80" spans="1:13" x14ac:dyDescent="0.35">
      <c r="A80" s="19" t="s">
        <v>86</v>
      </c>
      <c r="B80" s="19" t="s">
        <v>162</v>
      </c>
      <c r="C80" s="19" t="s">
        <v>338</v>
      </c>
      <c r="D80" s="19" t="s">
        <v>344</v>
      </c>
      <c r="E80" s="19">
        <v>69166</v>
      </c>
      <c r="F80" s="22" t="str">
        <f t="shared" si="3"/>
        <v>69166</v>
      </c>
      <c r="G80" s="19">
        <v>69166</v>
      </c>
      <c r="H80" s="20">
        <v>42547</v>
      </c>
      <c r="I80" s="19">
        <v>1</v>
      </c>
      <c r="J80" s="19" t="s">
        <v>181</v>
      </c>
      <c r="K80" s="19" t="s">
        <v>243</v>
      </c>
      <c r="L80" s="19">
        <v>1077</v>
      </c>
      <c r="M80" s="28">
        <f t="shared" ca="1" si="4"/>
        <v>26</v>
      </c>
    </row>
    <row r="81" spans="1:13" x14ac:dyDescent="0.35">
      <c r="A81" s="19" t="s">
        <v>87</v>
      </c>
      <c r="B81" s="19" t="s">
        <v>163</v>
      </c>
      <c r="C81" s="19" t="s">
        <v>338</v>
      </c>
      <c r="D81" s="19" t="s">
        <v>344</v>
      </c>
      <c r="E81" s="19">
        <v>78245</v>
      </c>
      <c r="F81" s="22" t="str">
        <f t="shared" si="3"/>
        <v>78245</v>
      </c>
      <c r="G81" s="19">
        <v>78245</v>
      </c>
      <c r="H81" s="20">
        <v>42554</v>
      </c>
      <c r="I81" s="19">
        <v>2</v>
      </c>
      <c r="J81" s="19" t="s">
        <v>178</v>
      </c>
      <c r="K81" s="19" t="s">
        <v>244</v>
      </c>
      <c r="L81" s="19">
        <v>1078</v>
      </c>
      <c r="M81" s="28">
        <f t="shared" ca="1" si="4"/>
        <v>18</v>
      </c>
    </row>
    <row r="82" spans="1:13" x14ac:dyDescent="0.35">
      <c r="A82" s="19" t="s">
        <v>88</v>
      </c>
      <c r="B82" s="19" t="s">
        <v>164</v>
      </c>
      <c r="C82" s="19" t="s">
        <v>336</v>
      </c>
      <c r="D82" s="19" t="s">
        <v>342</v>
      </c>
      <c r="E82" s="19">
        <v>66079</v>
      </c>
      <c r="F82" s="22" t="str">
        <f t="shared" si="3"/>
        <v>66079</v>
      </c>
      <c r="G82" s="19">
        <v>66079</v>
      </c>
      <c r="H82" s="20">
        <v>42561</v>
      </c>
      <c r="I82" s="19">
        <v>2</v>
      </c>
      <c r="J82" s="19" t="s">
        <v>179</v>
      </c>
      <c r="K82" s="19" t="s">
        <v>245</v>
      </c>
      <c r="L82" s="19">
        <v>1079</v>
      </c>
      <c r="M82" s="28">
        <f t="shared" ca="1" si="4"/>
        <v>11</v>
      </c>
    </row>
    <row r="83" spans="1:13" x14ac:dyDescent="0.35">
      <c r="A83" s="19" t="s">
        <v>89</v>
      </c>
      <c r="B83" s="19" t="s">
        <v>159</v>
      </c>
      <c r="C83" s="19" t="s">
        <v>337</v>
      </c>
      <c r="D83" s="19" t="s">
        <v>343</v>
      </c>
      <c r="E83" s="19" t="s">
        <v>177</v>
      </c>
      <c r="F83" s="22" t="str">
        <f t="shared" si="3"/>
        <v>0</v>
      </c>
      <c r="G83" s="19">
        <v>63687</v>
      </c>
      <c r="H83" s="20" t="s">
        <v>178</v>
      </c>
      <c r="I83" s="19">
        <v>3</v>
      </c>
      <c r="J83" s="19" t="s">
        <v>178</v>
      </c>
      <c r="K83" s="19" t="s">
        <v>208</v>
      </c>
      <c r="L83" s="19">
        <v>1080</v>
      </c>
      <c r="M83" s="28">
        <f t="shared" ca="1" si="4"/>
        <v>0</v>
      </c>
    </row>
    <row r="84" spans="1:13" x14ac:dyDescent="0.35">
      <c r="A84" s="19" t="s">
        <v>90</v>
      </c>
      <c r="B84" s="19" t="s">
        <v>162</v>
      </c>
      <c r="C84" s="19" t="s">
        <v>336</v>
      </c>
      <c r="D84" s="19" t="s">
        <v>342</v>
      </c>
      <c r="E84" s="19">
        <v>95621</v>
      </c>
      <c r="F84" s="22" t="str">
        <f t="shared" si="3"/>
        <v>95621</v>
      </c>
      <c r="G84" s="19">
        <v>95621</v>
      </c>
      <c r="H84" s="20">
        <v>42575</v>
      </c>
      <c r="I84" s="19">
        <v>3</v>
      </c>
      <c r="J84" s="19" t="s">
        <v>181</v>
      </c>
      <c r="K84" s="19" t="s">
        <v>246</v>
      </c>
      <c r="L84" s="19">
        <v>1081</v>
      </c>
      <c r="M84" s="28">
        <f t="shared" ca="1" si="4"/>
        <v>28</v>
      </c>
    </row>
    <row r="85" spans="1:13" x14ac:dyDescent="0.35">
      <c r="A85" s="19" t="s">
        <v>91</v>
      </c>
      <c r="B85" s="19" t="s">
        <v>159</v>
      </c>
      <c r="C85" s="19" t="s">
        <v>169</v>
      </c>
      <c r="D85" s="19" t="s">
        <v>344</v>
      </c>
      <c r="E85" s="19">
        <v>42262</v>
      </c>
      <c r="F85" s="22" t="str">
        <f t="shared" si="3"/>
        <v>42262</v>
      </c>
      <c r="G85" s="19">
        <v>42262</v>
      </c>
      <c r="H85" s="20">
        <v>42582</v>
      </c>
      <c r="I85" s="19">
        <v>1</v>
      </c>
      <c r="J85" s="19" t="s">
        <v>178</v>
      </c>
      <c r="K85" s="19" t="s">
        <v>247</v>
      </c>
      <c r="L85" s="19">
        <v>1082</v>
      </c>
      <c r="M85" s="28">
        <f t="shared" ca="1" si="4"/>
        <v>21</v>
      </c>
    </row>
    <row r="86" spans="1:13" x14ac:dyDescent="0.35">
      <c r="A86" s="19" t="s">
        <v>92</v>
      </c>
      <c r="B86" s="19" t="s">
        <v>163</v>
      </c>
      <c r="C86" s="19" t="s">
        <v>336</v>
      </c>
      <c r="D86" s="19" t="s">
        <v>343</v>
      </c>
      <c r="E86" s="19">
        <v>99621</v>
      </c>
      <c r="F86" s="22" t="str">
        <f t="shared" si="3"/>
        <v>99621</v>
      </c>
      <c r="G86" s="19">
        <v>99621</v>
      </c>
      <c r="H86" s="20">
        <v>42589</v>
      </c>
      <c r="I86" s="19">
        <v>3</v>
      </c>
      <c r="J86" s="19" t="s">
        <v>179</v>
      </c>
      <c r="K86" s="19" t="s">
        <v>248</v>
      </c>
      <c r="L86" s="19">
        <v>1083</v>
      </c>
      <c r="M86" s="28">
        <f t="shared" ca="1" si="4"/>
        <v>14</v>
      </c>
    </row>
    <row r="87" spans="1:13" x14ac:dyDescent="0.35">
      <c r="A87" s="19" t="s">
        <v>93</v>
      </c>
      <c r="B87" s="19" t="s">
        <v>161</v>
      </c>
      <c r="C87" s="19" t="s">
        <v>337</v>
      </c>
      <c r="D87" s="19" t="s">
        <v>343</v>
      </c>
      <c r="E87" s="19">
        <v>44682</v>
      </c>
      <c r="F87" s="22" t="str">
        <f t="shared" si="3"/>
        <v>44682</v>
      </c>
      <c r="G87" s="19">
        <v>44682</v>
      </c>
      <c r="H87" s="20">
        <v>42596</v>
      </c>
      <c r="I87" s="19">
        <v>4</v>
      </c>
      <c r="J87" s="19" t="s">
        <v>181</v>
      </c>
      <c r="K87" s="19" t="s">
        <v>220</v>
      </c>
      <c r="L87" s="19">
        <v>1084</v>
      </c>
      <c r="M87" s="28">
        <f t="shared" ca="1" si="4"/>
        <v>7</v>
      </c>
    </row>
    <row r="88" spans="1:13" x14ac:dyDescent="0.35">
      <c r="A88" s="19" t="s">
        <v>94</v>
      </c>
      <c r="B88" s="19" t="s">
        <v>164</v>
      </c>
      <c r="C88" s="19" t="s">
        <v>335</v>
      </c>
      <c r="D88" s="19" t="s">
        <v>340</v>
      </c>
      <c r="E88" s="19">
        <v>35163</v>
      </c>
      <c r="F88" s="22" t="str">
        <f t="shared" si="3"/>
        <v>35163</v>
      </c>
      <c r="G88" s="19">
        <v>35163</v>
      </c>
      <c r="H88" s="20">
        <v>42603</v>
      </c>
      <c r="I88" s="19">
        <v>5</v>
      </c>
      <c r="J88" s="19" t="s">
        <v>179</v>
      </c>
      <c r="K88" s="19" t="s">
        <v>249</v>
      </c>
      <c r="L88" s="19">
        <v>1085</v>
      </c>
      <c r="M88" s="28">
        <f t="shared" ca="1" si="4"/>
        <v>0</v>
      </c>
    </row>
    <row r="89" spans="1:13" x14ac:dyDescent="0.35">
      <c r="A89" s="19" t="s">
        <v>95</v>
      </c>
      <c r="B89" s="19" t="s">
        <v>164</v>
      </c>
      <c r="C89" s="19" t="s">
        <v>169</v>
      </c>
      <c r="D89" s="19" t="s">
        <v>343</v>
      </c>
      <c r="E89" s="19">
        <v>33483</v>
      </c>
      <c r="F89" s="22" t="str">
        <f t="shared" si="3"/>
        <v>33483</v>
      </c>
      <c r="G89" s="19">
        <v>33483</v>
      </c>
      <c r="H89" s="20">
        <v>42610</v>
      </c>
      <c r="I89" s="19">
        <v>4</v>
      </c>
      <c r="J89" s="19" t="s">
        <v>180</v>
      </c>
      <c r="K89" s="19" t="s">
        <v>250</v>
      </c>
      <c r="L89" s="19">
        <v>1086</v>
      </c>
      <c r="M89" s="28">
        <f t="shared" ca="1" si="4"/>
        <v>24</v>
      </c>
    </row>
    <row r="90" spans="1:13" x14ac:dyDescent="0.35">
      <c r="A90" s="19" t="s">
        <v>96</v>
      </c>
      <c r="B90" s="19" t="s">
        <v>163</v>
      </c>
      <c r="C90" s="19" t="s">
        <v>167</v>
      </c>
      <c r="D90" s="19" t="s">
        <v>341</v>
      </c>
      <c r="E90" s="19">
        <v>55303</v>
      </c>
      <c r="F90" s="22" t="str">
        <f t="shared" si="3"/>
        <v>55303</v>
      </c>
      <c r="G90" s="19">
        <v>55303</v>
      </c>
      <c r="H90" s="20">
        <v>42617</v>
      </c>
      <c r="I90" s="19">
        <v>4</v>
      </c>
      <c r="J90" s="19" t="s">
        <v>180</v>
      </c>
      <c r="K90" s="19" t="s">
        <v>203</v>
      </c>
      <c r="L90" s="19">
        <v>1087</v>
      </c>
      <c r="M90" s="28">
        <f t="shared" ca="1" si="4"/>
        <v>17</v>
      </c>
    </row>
    <row r="91" spans="1:13" x14ac:dyDescent="0.35">
      <c r="A91" s="19" t="s">
        <v>97</v>
      </c>
      <c r="B91" s="19" t="s">
        <v>164</v>
      </c>
      <c r="C91" s="19" t="s">
        <v>169</v>
      </c>
      <c r="D91" s="19" t="s">
        <v>340</v>
      </c>
      <c r="E91" s="19">
        <v>63434</v>
      </c>
      <c r="F91" s="22" t="str">
        <f t="shared" si="3"/>
        <v>63434</v>
      </c>
      <c r="G91" s="19">
        <v>63434</v>
      </c>
      <c r="H91" s="20">
        <v>42624</v>
      </c>
      <c r="I91" s="19">
        <v>3</v>
      </c>
      <c r="J91" s="19" t="s">
        <v>178</v>
      </c>
      <c r="K91" s="19" t="s">
        <v>251</v>
      </c>
      <c r="L91" s="19">
        <v>1088</v>
      </c>
      <c r="M91" s="28">
        <f t="shared" ca="1" si="4"/>
        <v>10</v>
      </c>
    </row>
    <row r="92" spans="1:13" x14ac:dyDescent="0.35">
      <c r="A92" s="19" t="s">
        <v>98</v>
      </c>
      <c r="B92" s="19" t="s">
        <v>162</v>
      </c>
      <c r="C92" s="19" t="s">
        <v>338</v>
      </c>
      <c r="D92" s="19" t="s">
        <v>345</v>
      </c>
      <c r="E92" s="19">
        <v>38830</v>
      </c>
      <c r="F92" s="22" t="str">
        <f t="shared" si="3"/>
        <v>38830</v>
      </c>
      <c r="G92" s="19">
        <v>38830</v>
      </c>
      <c r="H92" s="20">
        <v>42631</v>
      </c>
      <c r="I92" s="19">
        <v>3</v>
      </c>
      <c r="J92" s="19" t="s">
        <v>179</v>
      </c>
      <c r="K92" s="19" t="s">
        <v>203</v>
      </c>
      <c r="L92" s="19">
        <v>1089</v>
      </c>
      <c r="M92" s="28">
        <f t="shared" ca="1" si="4"/>
        <v>3</v>
      </c>
    </row>
    <row r="93" spans="1:13" x14ac:dyDescent="0.35">
      <c r="A93" s="19" t="s">
        <v>99</v>
      </c>
      <c r="B93" s="19" t="s">
        <v>178</v>
      </c>
      <c r="C93" s="19" t="s">
        <v>337</v>
      </c>
      <c r="D93" s="19" t="s">
        <v>344</v>
      </c>
      <c r="E93" s="19">
        <v>50741</v>
      </c>
      <c r="F93" s="22" t="str">
        <f t="shared" si="3"/>
        <v>50741</v>
      </c>
      <c r="G93" s="19">
        <v>50741</v>
      </c>
      <c r="H93" s="20">
        <v>42638</v>
      </c>
      <c r="I93" s="19">
        <v>3</v>
      </c>
      <c r="J93" s="19" t="s">
        <v>178</v>
      </c>
      <c r="K93" s="19" t="s">
        <v>240</v>
      </c>
      <c r="L93" s="19">
        <v>1090</v>
      </c>
      <c r="M93" s="28">
        <f t="shared" ca="1" si="4"/>
        <v>27</v>
      </c>
    </row>
    <row r="94" spans="1:13" x14ac:dyDescent="0.35">
      <c r="A94" s="19" t="s">
        <v>100</v>
      </c>
      <c r="B94" s="19" t="s">
        <v>160</v>
      </c>
      <c r="C94" s="19" t="s">
        <v>167</v>
      </c>
      <c r="D94" s="19" t="s">
        <v>345</v>
      </c>
      <c r="E94" s="19">
        <v>69420</v>
      </c>
      <c r="F94" s="22" t="str">
        <f t="shared" si="3"/>
        <v>69420</v>
      </c>
      <c r="G94" s="19">
        <v>69420</v>
      </c>
      <c r="H94" s="20">
        <v>42645</v>
      </c>
      <c r="I94" s="19">
        <v>1</v>
      </c>
      <c r="J94" s="19" t="s">
        <v>180</v>
      </c>
      <c r="K94" s="19" t="s">
        <v>225</v>
      </c>
      <c r="L94" s="19">
        <v>1091</v>
      </c>
      <c r="M94" s="28">
        <f t="shared" ca="1" si="4"/>
        <v>19</v>
      </c>
    </row>
    <row r="95" spans="1:13" x14ac:dyDescent="0.35">
      <c r="A95" s="19" t="s">
        <v>101</v>
      </c>
      <c r="B95" s="19" t="s">
        <v>162</v>
      </c>
      <c r="C95" s="19" t="s">
        <v>169</v>
      </c>
      <c r="D95" s="19" t="s">
        <v>340</v>
      </c>
      <c r="E95" s="19">
        <v>80588</v>
      </c>
      <c r="F95" s="22" t="str">
        <f t="shared" si="3"/>
        <v>80588</v>
      </c>
      <c r="G95" s="19">
        <v>80588</v>
      </c>
      <c r="H95" s="20">
        <v>42652</v>
      </c>
      <c r="I95" s="19">
        <v>5</v>
      </c>
      <c r="J95" s="19" t="s">
        <v>180</v>
      </c>
      <c r="K95" s="19" t="s">
        <v>216</v>
      </c>
      <c r="L95" s="19">
        <v>1092</v>
      </c>
      <c r="M95" s="28">
        <f t="shared" ca="1" si="4"/>
        <v>12</v>
      </c>
    </row>
    <row r="96" spans="1:13" x14ac:dyDescent="0.35">
      <c r="A96" s="19" t="s">
        <v>102</v>
      </c>
      <c r="B96" s="19" t="s">
        <v>160</v>
      </c>
      <c r="C96" s="19" t="s">
        <v>338</v>
      </c>
      <c r="D96" s="19" t="s">
        <v>342</v>
      </c>
      <c r="E96" s="19">
        <v>76238</v>
      </c>
      <c r="F96" s="22" t="str">
        <f t="shared" si="3"/>
        <v>76238</v>
      </c>
      <c r="G96" s="19">
        <v>76238</v>
      </c>
      <c r="H96" s="20">
        <v>42659</v>
      </c>
      <c r="I96" s="19">
        <v>4</v>
      </c>
      <c r="J96" s="19" t="s">
        <v>180</v>
      </c>
      <c r="K96" s="19" t="s">
        <v>252</v>
      </c>
      <c r="L96" s="19">
        <v>1093</v>
      </c>
      <c r="M96" s="28">
        <f t="shared" ca="1" si="4"/>
        <v>5</v>
      </c>
    </row>
    <row r="97" spans="1:13" x14ac:dyDescent="0.35">
      <c r="A97" s="19" t="s">
        <v>103</v>
      </c>
      <c r="B97" s="19" t="s">
        <v>165</v>
      </c>
      <c r="C97" s="19" t="s">
        <v>169</v>
      </c>
      <c r="D97" s="19" t="s">
        <v>343</v>
      </c>
      <c r="E97" s="19">
        <v>33264</v>
      </c>
      <c r="F97" s="22" t="str">
        <f t="shared" si="3"/>
        <v>33264</v>
      </c>
      <c r="G97" s="19">
        <v>33264</v>
      </c>
      <c r="H97" s="20">
        <v>42666</v>
      </c>
      <c r="I97" s="19">
        <v>3</v>
      </c>
      <c r="J97" s="19" t="s">
        <v>181</v>
      </c>
      <c r="K97" s="19" t="s">
        <v>253</v>
      </c>
      <c r="L97" s="19">
        <v>1094</v>
      </c>
      <c r="M97" s="28">
        <f t="shared" ca="1" si="4"/>
        <v>29</v>
      </c>
    </row>
    <row r="98" spans="1:13" x14ac:dyDescent="0.35">
      <c r="A98" s="19" t="s">
        <v>104</v>
      </c>
      <c r="B98" s="19" t="s">
        <v>160</v>
      </c>
      <c r="C98" s="19" t="s">
        <v>335</v>
      </c>
      <c r="D98" s="19" t="s">
        <v>345</v>
      </c>
      <c r="E98" s="19">
        <v>96101</v>
      </c>
      <c r="F98" s="22" t="str">
        <f t="shared" si="3"/>
        <v>96101</v>
      </c>
      <c r="G98" s="19">
        <v>96101</v>
      </c>
      <c r="H98" s="20">
        <v>42673</v>
      </c>
      <c r="I98" s="19">
        <v>3</v>
      </c>
      <c r="J98" s="19" t="s">
        <v>179</v>
      </c>
      <c r="K98" s="19" t="s">
        <v>254</v>
      </c>
      <c r="L98" s="19">
        <v>1095</v>
      </c>
      <c r="M98" s="28">
        <f t="shared" ca="1" si="4"/>
        <v>22</v>
      </c>
    </row>
    <row r="99" spans="1:13" x14ac:dyDescent="0.35">
      <c r="A99" s="19" t="s">
        <v>105</v>
      </c>
      <c r="B99" s="19" t="s">
        <v>162</v>
      </c>
      <c r="C99" s="19" t="s">
        <v>335</v>
      </c>
      <c r="D99" s="19" t="s">
        <v>342</v>
      </c>
      <c r="E99" s="19">
        <v>72939</v>
      </c>
      <c r="F99" s="22" t="str">
        <f t="shared" ref="F99:F130" si="5">SUBSTITUTE(E99,"N/A","0")</f>
        <v>72939</v>
      </c>
      <c r="G99" s="19">
        <v>72939</v>
      </c>
      <c r="H99" s="20">
        <v>42680</v>
      </c>
      <c r="I99" s="19">
        <v>3</v>
      </c>
      <c r="J99" s="19" t="s">
        <v>178</v>
      </c>
      <c r="K99" s="19" t="s">
        <v>255</v>
      </c>
      <c r="L99" s="19">
        <v>1096</v>
      </c>
      <c r="M99" s="28">
        <f t="shared" ca="1" si="4"/>
        <v>15</v>
      </c>
    </row>
    <row r="100" spans="1:13" x14ac:dyDescent="0.35">
      <c r="A100" s="19" t="s">
        <v>106</v>
      </c>
      <c r="B100" s="19" t="s">
        <v>163</v>
      </c>
      <c r="C100" s="19" t="s">
        <v>167</v>
      </c>
      <c r="D100" s="19" t="s">
        <v>341</v>
      </c>
      <c r="E100" s="19">
        <v>89333</v>
      </c>
      <c r="F100" s="22" t="str">
        <f t="shared" si="5"/>
        <v>89333</v>
      </c>
      <c r="G100" s="19">
        <v>89333</v>
      </c>
      <c r="H100" s="20">
        <v>42687</v>
      </c>
      <c r="I100" s="19">
        <v>1</v>
      </c>
      <c r="J100" s="19" t="s">
        <v>180</v>
      </c>
      <c r="K100" s="19" t="s">
        <v>256</v>
      </c>
      <c r="L100" s="19">
        <v>1097</v>
      </c>
      <c r="M100" s="28">
        <f t="shared" ca="1" si="4"/>
        <v>8</v>
      </c>
    </row>
    <row r="101" spans="1:13" x14ac:dyDescent="0.35">
      <c r="A101" s="19" t="s">
        <v>107</v>
      </c>
      <c r="B101" s="19" t="s">
        <v>165</v>
      </c>
      <c r="C101" s="19" t="s">
        <v>169</v>
      </c>
      <c r="D101" s="19" t="s">
        <v>345</v>
      </c>
      <c r="E101" s="19">
        <v>70470</v>
      </c>
      <c r="F101" s="22" t="str">
        <f t="shared" si="5"/>
        <v>70470</v>
      </c>
      <c r="G101" s="19">
        <v>70470</v>
      </c>
      <c r="H101" s="20">
        <v>42694</v>
      </c>
      <c r="I101" s="19">
        <v>3</v>
      </c>
      <c r="J101" s="19" t="s">
        <v>180</v>
      </c>
      <c r="K101" s="19" t="s">
        <v>257</v>
      </c>
      <c r="L101" s="19">
        <v>1098</v>
      </c>
      <c r="M101" s="28">
        <f t="shared" ca="1" si="4"/>
        <v>1</v>
      </c>
    </row>
    <row r="102" spans="1:13" x14ac:dyDescent="0.35">
      <c r="A102" s="19" t="s">
        <v>108</v>
      </c>
      <c r="B102" s="19" t="s">
        <v>159</v>
      </c>
      <c r="C102" s="19" t="s">
        <v>337</v>
      </c>
      <c r="D102" s="19" t="s">
        <v>342</v>
      </c>
      <c r="E102" s="19">
        <v>70096</v>
      </c>
      <c r="F102" s="22" t="str">
        <f t="shared" si="5"/>
        <v>70096</v>
      </c>
      <c r="G102" s="19">
        <v>70096</v>
      </c>
      <c r="H102" s="20">
        <v>42701</v>
      </c>
      <c r="I102" s="19">
        <v>4</v>
      </c>
      <c r="J102" s="19" t="s">
        <v>180</v>
      </c>
      <c r="K102" s="19" t="s">
        <v>258</v>
      </c>
      <c r="L102" s="19">
        <v>1099</v>
      </c>
      <c r="M102" s="28">
        <f t="shared" ca="1" si="4"/>
        <v>25</v>
      </c>
    </row>
    <row r="103" spans="1:13" x14ac:dyDescent="0.35">
      <c r="A103" s="19" t="s">
        <v>109</v>
      </c>
      <c r="B103" s="19" t="s">
        <v>165</v>
      </c>
      <c r="C103" s="19" t="s">
        <v>337</v>
      </c>
      <c r="D103" s="19" t="s">
        <v>340</v>
      </c>
      <c r="E103" s="19" t="s">
        <v>177</v>
      </c>
      <c r="F103" s="22" t="str">
        <f t="shared" si="5"/>
        <v>0</v>
      </c>
      <c r="G103" s="19">
        <v>63687</v>
      </c>
      <c r="H103" s="20">
        <v>42708</v>
      </c>
      <c r="I103" s="19">
        <v>2</v>
      </c>
      <c r="J103" s="19" t="s">
        <v>179</v>
      </c>
      <c r="K103" s="19" t="s">
        <v>259</v>
      </c>
      <c r="L103" s="19">
        <v>1100</v>
      </c>
      <c r="M103" s="28">
        <f t="shared" ca="1" si="4"/>
        <v>17</v>
      </c>
    </row>
    <row r="104" spans="1:13" x14ac:dyDescent="0.35">
      <c r="A104" s="19" t="s">
        <v>110</v>
      </c>
      <c r="B104" s="19" t="s">
        <v>165</v>
      </c>
      <c r="C104" s="19" t="s">
        <v>169</v>
      </c>
      <c r="D104" s="19" t="s">
        <v>341</v>
      </c>
      <c r="E104" s="19">
        <v>66503</v>
      </c>
      <c r="F104" s="22" t="str">
        <f t="shared" si="5"/>
        <v>66503</v>
      </c>
      <c r="G104" s="19">
        <v>66503</v>
      </c>
      <c r="H104" s="20">
        <v>42715</v>
      </c>
      <c r="I104" s="19">
        <v>3</v>
      </c>
      <c r="J104" s="19" t="s">
        <v>180</v>
      </c>
      <c r="K104" s="19" t="s">
        <v>200</v>
      </c>
      <c r="L104" s="19">
        <v>1101</v>
      </c>
      <c r="M104" s="28">
        <f t="shared" ca="1" si="4"/>
        <v>10</v>
      </c>
    </row>
    <row r="105" spans="1:13" x14ac:dyDescent="0.35">
      <c r="A105" s="19" t="s">
        <v>111</v>
      </c>
      <c r="B105" s="19" t="s">
        <v>160</v>
      </c>
      <c r="C105" s="19" t="s">
        <v>167</v>
      </c>
      <c r="D105" s="19" t="s">
        <v>341</v>
      </c>
      <c r="E105" s="19">
        <v>42096</v>
      </c>
      <c r="F105" s="22" t="str">
        <f t="shared" si="5"/>
        <v>42096</v>
      </c>
      <c r="G105" s="19">
        <v>42096</v>
      </c>
      <c r="H105" s="20">
        <v>42722</v>
      </c>
      <c r="I105" s="19">
        <v>3</v>
      </c>
      <c r="J105" s="19" t="s">
        <v>181</v>
      </c>
      <c r="K105" s="19" t="s">
        <v>260</v>
      </c>
      <c r="L105" s="19">
        <v>1102</v>
      </c>
      <c r="M105" s="28">
        <f t="shared" ca="1" si="4"/>
        <v>3</v>
      </c>
    </row>
    <row r="106" spans="1:13" x14ac:dyDescent="0.35">
      <c r="A106" s="19" t="s">
        <v>112</v>
      </c>
      <c r="B106" s="19" t="s">
        <v>160</v>
      </c>
      <c r="C106" s="19" t="s">
        <v>337</v>
      </c>
      <c r="D106" s="19" t="s">
        <v>340</v>
      </c>
      <c r="E106" s="19">
        <v>79145</v>
      </c>
      <c r="F106" s="22" t="str">
        <f t="shared" si="5"/>
        <v>79145</v>
      </c>
      <c r="G106" s="19">
        <v>79145</v>
      </c>
      <c r="H106" s="20">
        <v>42729</v>
      </c>
      <c r="I106" s="19">
        <v>5</v>
      </c>
      <c r="J106" s="19" t="s">
        <v>179</v>
      </c>
      <c r="K106" s="19" t="s">
        <v>223</v>
      </c>
      <c r="L106" s="19">
        <v>1103</v>
      </c>
      <c r="M106" s="28">
        <f t="shared" ca="1" si="4"/>
        <v>27</v>
      </c>
    </row>
    <row r="107" spans="1:13" x14ac:dyDescent="0.35">
      <c r="A107" s="19" t="s">
        <v>113</v>
      </c>
      <c r="B107" s="19" t="s">
        <v>162</v>
      </c>
      <c r="C107" s="19" t="s">
        <v>338</v>
      </c>
      <c r="D107" s="19" t="s">
        <v>345</v>
      </c>
      <c r="E107" s="19">
        <v>61556</v>
      </c>
      <c r="F107" s="22" t="str">
        <f t="shared" si="5"/>
        <v>61556</v>
      </c>
      <c r="G107" s="19">
        <v>61556</v>
      </c>
      <c r="H107" s="20">
        <v>42736</v>
      </c>
      <c r="I107" s="19">
        <v>1</v>
      </c>
      <c r="J107" s="19" t="s">
        <v>178</v>
      </c>
      <c r="K107" s="19" t="s">
        <v>259</v>
      </c>
      <c r="L107" s="19">
        <v>1104</v>
      </c>
      <c r="M107" s="28">
        <f t="shared" ca="1" si="4"/>
        <v>20</v>
      </c>
    </row>
    <row r="108" spans="1:13" x14ac:dyDescent="0.35">
      <c r="A108" s="19" t="s">
        <v>114</v>
      </c>
      <c r="B108" s="19" t="s">
        <v>178</v>
      </c>
      <c r="C108" s="19" t="s">
        <v>167</v>
      </c>
      <c r="D108" s="19" t="s">
        <v>344</v>
      </c>
      <c r="E108" s="19">
        <v>87963</v>
      </c>
      <c r="F108" s="22" t="str">
        <f t="shared" si="5"/>
        <v>87963</v>
      </c>
      <c r="G108" s="19">
        <v>87963</v>
      </c>
      <c r="H108" s="20">
        <v>42743</v>
      </c>
      <c r="I108" s="19">
        <v>3</v>
      </c>
      <c r="J108" s="19" t="s">
        <v>179</v>
      </c>
      <c r="K108" s="19" t="s">
        <v>182</v>
      </c>
      <c r="L108" s="19">
        <v>1105</v>
      </c>
      <c r="M108" s="28">
        <f t="shared" ca="1" si="4"/>
        <v>13</v>
      </c>
    </row>
    <row r="109" spans="1:13" x14ac:dyDescent="0.35">
      <c r="A109" s="19" t="s">
        <v>115</v>
      </c>
      <c r="B109" s="19" t="s">
        <v>159</v>
      </c>
      <c r="C109" s="19" t="s">
        <v>169</v>
      </c>
      <c r="D109" s="19" t="s">
        <v>340</v>
      </c>
      <c r="E109" s="19">
        <v>48325</v>
      </c>
      <c r="F109" s="22" t="str">
        <f t="shared" si="5"/>
        <v>48325</v>
      </c>
      <c r="G109" s="19">
        <v>48325</v>
      </c>
      <c r="H109" s="20">
        <v>42750</v>
      </c>
      <c r="I109" s="19">
        <v>3</v>
      </c>
      <c r="J109" s="19" t="s">
        <v>180</v>
      </c>
      <c r="K109" s="19" t="s">
        <v>261</v>
      </c>
      <c r="L109" s="19">
        <v>1106</v>
      </c>
      <c r="M109" s="28">
        <f t="shared" ca="1" si="4"/>
        <v>6</v>
      </c>
    </row>
    <row r="110" spans="1:13" x14ac:dyDescent="0.35">
      <c r="A110" s="19" t="s">
        <v>116</v>
      </c>
      <c r="B110" s="19" t="s">
        <v>163</v>
      </c>
      <c r="C110" s="19" t="s">
        <v>337</v>
      </c>
      <c r="D110" s="19" t="s">
        <v>345</v>
      </c>
      <c r="E110" s="19">
        <v>86412</v>
      </c>
      <c r="F110" s="22" t="str">
        <f t="shared" si="5"/>
        <v>86412</v>
      </c>
      <c r="G110" s="19">
        <v>86412</v>
      </c>
      <c r="H110" s="20">
        <v>42757</v>
      </c>
      <c r="I110" s="19">
        <v>2</v>
      </c>
      <c r="J110" s="19" t="s">
        <v>181</v>
      </c>
      <c r="K110" s="19" t="s">
        <v>202</v>
      </c>
      <c r="L110" s="19">
        <v>1107</v>
      </c>
      <c r="M110" s="28">
        <f t="shared" ca="1" si="4"/>
        <v>30</v>
      </c>
    </row>
    <row r="111" spans="1:13" x14ac:dyDescent="0.35">
      <c r="A111" s="19" t="s">
        <v>117</v>
      </c>
      <c r="B111" s="19" t="s">
        <v>163</v>
      </c>
      <c r="C111" s="19" t="s">
        <v>167</v>
      </c>
      <c r="D111" s="19" t="s">
        <v>340</v>
      </c>
      <c r="E111" s="19">
        <v>66761</v>
      </c>
      <c r="F111" s="22" t="str">
        <f t="shared" si="5"/>
        <v>66761</v>
      </c>
      <c r="G111" s="19">
        <v>66761</v>
      </c>
      <c r="H111" s="20">
        <v>42764</v>
      </c>
      <c r="I111" s="19">
        <v>1</v>
      </c>
      <c r="J111" s="19" t="s">
        <v>178</v>
      </c>
      <c r="K111" s="19" t="s">
        <v>262</v>
      </c>
      <c r="L111" s="19">
        <v>1108</v>
      </c>
      <c r="M111" s="28">
        <f t="shared" ca="1" si="4"/>
        <v>23</v>
      </c>
    </row>
    <row r="112" spans="1:13" x14ac:dyDescent="0.35">
      <c r="A112" s="19" t="s">
        <v>118</v>
      </c>
      <c r="B112" s="19" t="s">
        <v>162</v>
      </c>
      <c r="C112" s="19" t="s">
        <v>338</v>
      </c>
      <c r="D112" s="19" t="s">
        <v>343</v>
      </c>
      <c r="E112" s="19">
        <v>88850</v>
      </c>
      <c r="F112" s="22" t="str">
        <f t="shared" si="5"/>
        <v>88850</v>
      </c>
      <c r="G112" s="19">
        <v>88850</v>
      </c>
      <c r="H112" s="20">
        <v>42771</v>
      </c>
      <c r="I112" s="19">
        <v>1</v>
      </c>
      <c r="J112" s="19" t="s">
        <v>181</v>
      </c>
      <c r="K112" s="19" t="s">
        <v>263</v>
      </c>
      <c r="L112" s="19">
        <v>1109</v>
      </c>
      <c r="M112" s="28">
        <f t="shared" ca="1" si="4"/>
        <v>16</v>
      </c>
    </row>
    <row r="113" spans="1:13" x14ac:dyDescent="0.35">
      <c r="A113" s="19" t="s">
        <v>119</v>
      </c>
      <c r="B113" s="19" t="s">
        <v>164</v>
      </c>
      <c r="C113" s="19" t="s">
        <v>336</v>
      </c>
      <c r="D113" s="19" t="s">
        <v>343</v>
      </c>
      <c r="E113" s="19">
        <v>31293</v>
      </c>
      <c r="F113" s="22" t="str">
        <f t="shared" si="5"/>
        <v>31293</v>
      </c>
      <c r="G113" s="19">
        <v>31293</v>
      </c>
      <c r="H113" s="20" t="s">
        <v>178</v>
      </c>
      <c r="I113" s="19">
        <v>2</v>
      </c>
      <c r="J113" s="19" t="s">
        <v>181</v>
      </c>
      <c r="K113" s="19" t="s">
        <v>264</v>
      </c>
      <c r="L113" s="19">
        <v>1110</v>
      </c>
      <c r="M113" s="28">
        <f t="shared" ca="1" si="4"/>
        <v>0</v>
      </c>
    </row>
    <row r="114" spans="1:13" x14ac:dyDescent="0.35">
      <c r="A114" s="19" t="s">
        <v>120</v>
      </c>
      <c r="B114" s="19" t="s">
        <v>164</v>
      </c>
      <c r="C114" s="19" t="s">
        <v>169</v>
      </c>
      <c r="D114" s="19" t="s">
        <v>342</v>
      </c>
      <c r="E114" s="19">
        <v>34306</v>
      </c>
      <c r="F114" s="22" t="str">
        <f t="shared" si="5"/>
        <v>34306</v>
      </c>
      <c r="G114" s="19">
        <v>34306</v>
      </c>
      <c r="H114" s="20">
        <v>42785</v>
      </c>
      <c r="I114" s="19">
        <v>5</v>
      </c>
      <c r="J114" s="19" t="s">
        <v>181</v>
      </c>
      <c r="K114" s="19" t="s">
        <v>239</v>
      </c>
      <c r="L114" s="19">
        <v>1111</v>
      </c>
      <c r="M114" s="28">
        <f t="shared" ca="1" si="4"/>
        <v>2</v>
      </c>
    </row>
    <row r="115" spans="1:13" x14ac:dyDescent="0.35">
      <c r="A115" s="19" t="s">
        <v>121</v>
      </c>
      <c r="B115" s="19" t="s">
        <v>159</v>
      </c>
      <c r="C115" s="19" t="s">
        <v>335</v>
      </c>
      <c r="D115" s="19" t="s">
        <v>343</v>
      </c>
      <c r="E115" s="19">
        <v>78330</v>
      </c>
      <c r="F115" s="22" t="str">
        <f t="shared" si="5"/>
        <v>78330</v>
      </c>
      <c r="G115" s="19">
        <v>78330</v>
      </c>
      <c r="H115" s="20">
        <v>42792</v>
      </c>
      <c r="I115" s="19">
        <v>3</v>
      </c>
      <c r="J115" s="19" t="s">
        <v>179</v>
      </c>
      <c r="K115" s="19" t="s">
        <v>258</v>
      </c>
      <c r="L115" s="19">
        <v>1112</v>
      </c>
      <c r="M115" s="28">
        <f t="shared" ca="1" si="4"/>
        <v>26</v>
      </c>
    </row>
    <row r="116" spans="1:13" x14ac:dyDescent="0.35">
      <c r="A116" s="19" t="s">
        <v>122</v>
      </c>
      <c r="B116" s="19" t="s">
        <v>160</v>
      </c>
      <c r="C116" s="19" t="s">
        <v>169</v>
      </c>
      <c r="D116" s="19" t="s">
        <v>342</v>
      </c>
      <c r="E116" s="19">
        <v>47653</v>
      </c>
      <c r="F116" s="22" t="str">
        <f t="shared" si="5"/>
        <v>47653</v>
      </c>
      <c r="G116" s="19">
        <v>47653</v>
      </c>
      <c r="H116" s="20">
        <v>42799</v>
      </c>
      <c r="I116" s="19">
        <v>1</v>
      </c>
      <c r="J116" s="19" t="s">
        <v>180</v>
      </c>
      <c r="K116" s="19" t="s">
        <v>265</v>
      </c>
      <c r="L116" s="19">
        <v>1113</v>
      </c>
      <c r="M116" s="28">
        <f t="shared" ca="1" si="4"/>
        <v>16</v>
      </c>
    </row>
    <row r="117" spans="1:13" x14ac:dyDescent="0.35">
      <c r="A117" s="19" t="s">
        <v>123</v>
      </c>
      <c r="B117" s="19" t="s">
        <v>159</v>
      </c>
      <c r="C117" s="19" t="s">
        <v>337</v>
      </c>
      <c r="D117" s="19" t="s">
        <v>344</v>
      </c>
      <c r="E117" s="19">
        <v>44627</v>
      </c>
      <c r="F117" s="22" t="str">
        <f t="shared" si="5"/>
        <v>44627</v>
      </c>
      <c r="G117" s="19">
        <v>44627</v>
      </c>
      <c r="H117" s="20">
        <v>42806</v>
      </c>
      <c r="I117" s="19">
        <v>4</v>
      </c>
      <c r="J117" s="19" t="s">
        <v>178</v>
      </c>
      <c r="K117" s="19" t="s">
        <v>235</v>
      </c>
      <c r="L117" s="19">
        <v>1114</v>
      </c>
      <c r="M117" s="28">
        <f t="shared" ca="1" si="4"/>
        <v>9</v>
      </c>
    </row>
    <row r="118" spans="1:13" x14ac:dyDescent="0.35">
      <c r="A118" s="19" t="s">
        <v>124</v>
      </c>
      <c r="B118" s="19" t="s">
        <v>165</v>
      </c>
      <c r="C118" s="19" t="s">
        <v>167</v>
      </c>
      <c r="D118" s="19" t="s">
        <v>341</v>
      </c>
      <c r="E118" s="19">
        <v>92343</v>
      </c>
      <c r="F118" s="22" t="str">
        <f t="shared" si="5"/>
        <v>92343</v>
      </c>
      <c r="G118" s="19">
        <v>92343</v>
      </c>
      <c r="H118" s="20">
        <v>42813</v>
      </c>
      <c r="I118" s="19">
        <v>4</v>
      </c>
      <c r="J118" s="19" t="s">
        <v>181</v>
      </c>
      <c r="K118" s="19" t="s">
        <v>203</v>
      </c>
      <c r="L118" s="19">
        <v>1115</v>
      </c>
      <c r="M118" s="28">
        <f t="shared" ca="1" si="4"/>
        <v>2</v>
      </c>
    </row>
    <row r="119" spans="1:13" x14ac:dyDescent="0.35">
      <c r="A119" s="19" t="s">
        <v>125</v>
      </c>
      <c r="B119" s="19" t="s">
        <v>165</v>
      </c>
      <c r="C119" s="19" t="s">
        <v>337</v>
      </c>
      <c r="D119" s="19" t="s">
        <v>345</v>
      </c>
      <c r="E119" s="19">
        <v>38837</v>
      </c>
      <c r="F119" s="22" t="str">
        <f t="shared" si="5"/>
        <v>38837</v>
      </c>
      <c r="G119" s="19">
        <v>38837</v>
      </c>
      <c r="H119" s="20">
        <v>42820</v>
      </c>
      <c r="I119" s="19">
        <v>5</v>
      </c>
      <c r="J119" s="19" t="s">
        <v>181</v>
      </c>
      <c r="K119" s="19" t="s">
        <v>239</v>
      </c>
      <c r="L119" s="19">
        <v>1116</v>
      </c>
      <c r="M119" s="28">
        <f t="shared" ca="1" si="4"/>
        <v>26</v>
      </c>
    </row>
    <row r="120" spans="1:13" x14ac:dyDescent="0.35">
      <c r="A120" s="19" t="s">
        <v>126</v>
      </c>
      <c r="B120" s="19" t="s">
        <v>165</v>
      </c>
      <c r="C120" s="19" t="s">
        <v>337</v>
      </c>
      <c r="D120" s="19" t="s">
        <v>340</v>
      </c>
      <c r="E120" s="19">
        <v>73483</v>
      </c>
      <c r="F120" s="22" t="str">
        <f t="shared" si="5"/>
        <v>73483</v>
      </c>
      <c r="G120" s="19">
        <v>73483</v>
      </c>
      <c r="H120" s="20">
        <v>42827</v>
      </c>
      <c r="I120" s="19">
        <v>1</v>
      </c>
      <c r="J120" s="19" t="s">
        <v>178</v>
      </c>
      <c r="K120" s="19" t="s">
        <v>266</v>
      </c>
      <c r="L120" s="19">
        <v>1117</v>
      </c>
      <c r="M120" s="28">
        <f t="shared" ca="1" si="4"/>
        <v>19</v>
      </c>
    </row>
    <row r="121" spans="1:13" x14ac:dyDescent="0.35">
      <c r="A121" s="19" t="s">
        <v>127</v>
      </c>
      <c r="B121" s="19" t="s">
        <v>164</v>
      </c>
      <c r="C121" s="19" t="s">
        <v>336</v>
      </c>
      <c r="D121" s="19" t="s">
        <v>343</v>
      </c>
      <c r="E121" s="19">
        <v>95032</v>
      </c>
      <c r="F121" s="22" t="str">
        <f t="shared" si="5"/>
        <v>95032</v>
      </c>
      <c r="G121" s="19">
        <v>95032</v>
      </c>
      <c r="H121" s="20">
        <v>42834</v>
      </c>
      <c r="I121" s="19">
        <v>3</v>
      </c>
      <c r="J121" s="19" t="s">
        <v>178</v>
      </c>
      <c r="K121" s="19" t="s">
        <v>267</v>
      </c>
      <c r="L121" s="19">
        <v>1118</v>
      </c>
      <c r="M121" s="28">
        <f t="shared" ca="1" si="4"/>
        <v>12</v>
      </c>
    </row>
    <row r="122" spans="1:13" x14ac:dyDescent="0.35">
      <c r="A122" s="19" t="s">
        <v>128</v>
      </c>
      <c r="B122" s="19" t="s">
        <v>159</v>
      </c>
      <c r="C122" s="19" t="s">
        <v>336</v>
      </c>
      <c r="D122" s="19" t="s">
        <v>345</v>
      </c>
      <c r="E122" s="19">
        <v>44358</v>
      </c>
      <c r="F122" s="22" t="str">
        <f t="shared" si="5"/>
        <v>44358</v>
      </c>
      <c r="G122" s="19">
        <v>44358</v>
      </c>
      <c r="H122" s="20">
        <v>42841</v>
      </c>
      <c r="I122" s="19">
        <v>3</v>
      </c>
      <c r="J122" s="19" t="s">
        <v>181</v>
      </c>
      <c r="K122" s="19" t="s">
        <v>200</v>
      </c>
      <c r="L122" s="19">
        <v>1119</v>
      </c>
      <c r="M122" s="28">
        <f t="shared" ca="1" si="4"/>
        <v>5</v>
      </c>
    </row>
    <row r="123" spans="1:13" x14ac:dyDescent="0.35">
      <c r="A123" s="19" t="s">
        <v>129</v>
      </c>
      <c r="B123" s="19" t="s">
        <v>178</v>
      </c>
      <c r="C123" s="19" t="s">
        <v>169</v>
      </c>
      <c r="D123" s="19" t="s">
        <v>342</v>
      </c>
      <c r="E123" s="19" t="s">
        <v>177</v>
      </c>
      <c r="F123" s="22" t="str">
        <f t="shared" si="5"/>
        <v>0</v>
      </c>
      <c r="G123" s="19">
        <v>66158</v>
      </c>
      <c r="H123" s="20" t="s">
        <v>178</v>
      </c>
      <c r="I123" s="19">
        <v>5</v>
      </c>
      <c r="J123" s="19" t="s">
        <v>178</v>
      </c>
      <c r="K123" s="19" t="s">
        <v>268</v>
      </c>
      <c r="L123" s="19">
        <v>1120</v>
      </c>
      <c r="M123" s="28">
        <f t="shared" ca="1" si="4"/>
        <v>0</v>
      </c>
    </row>
    <row r="124" spans="1:13" x14ac:dyDescent="0.35">
      <c r="A124" s="19" t="s">
        <v>130</v>
      </c>
      <c r="B124" s="19" t="s">
        <v>164</v>
      </c>
      <c r="C124" s="19" t="s">
        <v>336</v>
      </c>
      <c r="D124" s="19" t="s">
        <v>342</v>
      </c>
      <c r="E124" s="19">
        <v>45676</v>
      </c>
      <c r="F124" s="22" t="str">
        <f t="shared" si="5"/>
        <v>45676</v>
      </c>
      <c r="G124" s="19">
        <v>45676</v>
      </c>
      <c r="H124" s="20">
        <v>42855</v>
      </c>
      <c r="I124" s="19">
        <v>2</v>
      </c>
      <c r="J124" s="19" t="s">
        <v>178</v>
      </c>
      <c r="K124" s="19" t="s">
        <v>269</v>
      </c>
      <c r="L124" s="19">
        <v>1121</v>
      </c>
      <c r="M124" s="28">
        <f t="shared" ca="1" si="4"/>
        <v>22</v>
      </c>
    </row>
    <row r="125" spans="1:13" x14ac:dyDescent="0.35">
      <c r="A125" s="19" t="s">
        <v>131</v>
      </c>
      <c r="B125" s="19" t="s">
        <v>165</v>
      </c>
      <c r="C125" s="19" t="s">
        <v>336</v>
      </c>
      <c r="D125" s="19" t="s">
        <v>341</v>
      </c>
      <c r="E125" s="19">
        <v>52036</v>
      </c>
      <c r="F125" s="22" t="str">
        <f t="shared" si="5"/>
        <v>52036</v>
      </c>
      <c r="G125" s="19">
        <v>52036</v>
      </c>
      <c r="H125" s="20">
        <v>42862</v>
      </c>
      <c r="I125" s="19">
        <v>3</v>
      </c>
      <c r="J125" s="19" t="s">
        <v>180</v>
      </c>
      <c r="K125" s="19" t="s">
        <v>270</v>
      </c>
      <c r="L125" s="19">
        <v>1122</v>
      </c>
      <c r="M125" s="28">
        <f t="shared" ca="1" si="4"/>
        <v>14</v>
      </c>
    </row>
    <row r="126" spans="1:13" x14ac:dyDescent="0.35">
      <c r="A126" s="19" t="s">
        <v>132</v>
      </c>
      <c r="B126" s="19" t="s">
        <v>162</v>
      </c>
      <c r="C126" s="19" t="s">
        <v>338</v>
      </c>
      <c r="D126" s="19" t="s">
        <v>341</v>
      </c>
      <c r="E126" s="19">
        <v>30357</v>
      </c>
      <c r="F126" s="22" t="str">
        <f t="shared" si="5"/>
        <v>30357</v>
      </c>
      <c r="G126" s="19">
        <v>30357</v>
      </c>
      <c r="H126" s="20">
        <v>42869</v>
      </c>
      <c r="I126" s="19">
        <v>5</v>
      </c>
      <c r="J126" s="19" t="s">
        <v>180</v>
      </c>
      <c r="K126" s="19" t="s">
        <v>248</v>
      </c>
      <c r="L126" s="19">
        <v>1123</v>
      </c>
      <c r="M126" s="28">
        <f t="shared" ca="1" si="4"/>
        <v>7</v>
      </c>
    </row>
    <row r="127" spans="1:13" x14ac:dyDescent="0.35">
      <c r="A127" s="19" t="s">
        <v>133</v>
      </c>
      <c r="B127" s="19" t="s">
        <v>161</v>
      </c>
      <c r="C127" s="19" t="s">
        <v>169</v>
      </c>
      <c r="D127" s="19" t="s">
        <v>340</v>
      </c>
      <c r="E127" s="19">
        <v>60034</v>
      </c>
      <c r="F127" s="22" t="str">
        <f t="shared" si="5"/>
        <v>60034</v>
      </c>
      <c r="G127" s="19">
        <v>60034</v>
      </c>
      <c r="H127" s="20">
        <v>42876</v>
      </c>
      <c r="I127" s="19">
        <v>1</v>
      </c>
      <c r="J127" s="19" t="s">
        <v>181</v>
      </c>
      <c r="K127" s="19" t="s">
        <v>271</v>
      </c>
      <c r="L127" s="19">
        <v>1124</v>
      </c>
      <c r="M127" s="28">
        <f t="shared" ca="1" si="4"/>
        <v>0</v>
      </c>
    </row>
    <row r="128" spans="1:13" x14ac:dyDescent="0.35">
      <c r="A128" s="19" t="s">
        <v>134</v>
      </c>
      <c r="B128" s="19" t="s">
        <v>161</v>
      </c>
      <c r="C128" s="19" t="s">
        <v>335</v>
      </c>
      <c r="D128" s="19" t="s">
        <v>340</v>
      </c>
      <c r="E128" s="19">
        <v>90019</v>
      </c>
      <c r="F128" s="22" t="str">
        <f t="shared" si="5"/>
        <v>90019</v>
      </c>
      <c r="G128" s="19">
        <v>90019</v>
      </c>
      <c r="H128" s="20">
        <v>42883</v>
      </c>
      <c r="I128" s="19">
        <v>5</v>
      </c>
      <c r="J128" s="19" t="s">
        <v>178</v>
      </c>
      <c r="K128" s="19" t="s">
        <v>272</v>
      </c>
      <c r="L128" s="19">
        <v>1125</v>
      </c>
      <c r="M128" s="28">
        <f t="shared" ca="1" si="4"/>
        <v>24</v>
      </c>
    </row>
    <row r="129" spans="1:13" x14ac:dyDescent="0.35">
      <c r="A129" s="19" t="s">
        <v>135</v>
      </c>
      <c r="B129" s="19" t="s">
        <v>165</v>
      </c>
      <c r="C129" s="19" t="s">
        <v>338</v>
      </c>
      <c r="D129" s="19" t="s">
        <v>341</v>
      </c>
      <c r="E129" s="19">
        <v>71494</v>
      </c>
      <c r="F129" s="22" t="str">
        <f t="shared" si="5"/>
        <v>71494</v>
      </c>
      <c r="G129" s="19">
        <v>71494</v>
      </c>
      <c r="H129" s="20">
        <v>42890</v>
      </c>
      <c r="I129" s="19">
        <v>3</v>
      </c>
      <c r="J129" s="19" t="s">
        <v>180</v>
      </c>
      <c r="K129" s="19" t="s">
        <v>273</v>
      </c>
      <c r="L129" s="19">
        <v>1126</v>
      </c>
      <c r="M129" s="28">
        <f t="shared" ca="1" si="4"/>
        <v>17</v>
      </c>
    </row>
    <row r="130" spans="1:13" x14ac:dyDescent="0.35">
      <c r="A130" s="19" t="s">
        <v>136</v>
      </c>
      <c r="B130" s="19" t="s">
        <v>161</v>
      </c>
      <c r="C130" s="19" t="s">
        <v>335</v>
      </c>
      <c r="D130" s="19" t="s">
        <v>342</v>
      </c>
      <c r="E130" s="19">
        <v>91953</v>
      </c>
      <c r="F130" s="22" t="str">
        <f t="shared" si="5"/>
        <v>91953</v>
      </c>
      <c r="G130" s="19">
        <v>91953</v>
      </c>
      <c r="H130" s="20">
        <v>42897</v>
      </c>
      <c r="I130" s="19">
        <v>2</v>
      </c>
      <c r="J130" s="19" t="s">
        <v>180</v>
      </c>
      <c r="K130" s="19" t="s">
        <v>209</v>
      </c>
      <c r="L130" s="19">
        <v>1127</v>
      </c>
      <c r="M130" s="28">
        <f t="shared" ca="1" si="4"/>
        <v>10</v>
      </c>
    </row>
    <row r="131" spans="1:13" x14ac:dyDescent="0.35">
      <c r="A131" s="19" t="s">
        <v>137</v>
      </c>
      <c r="B131" s="19" t="s">
        <v>164</v>
      </c>
      <c r="C131" s="19" t="s">
        <v>336</v>
      </c>
      <c r="D131" s="19" t="s">
        <v>342</v>
      </c>
      <c r="E131" s="19">
        <v>30402</v>
      </c>
      <c r="F131" s="22" t="str">
        <f t="shared" ref="F131:F152" si="6">SUBSTITUTE(E131,"N/A","0")</f>
        <v>30402</v>
      </c>
      <c r="G131" s="19">
        <v>30402</v>
      </c>
      <c r="H131" s="20">
        <v>42904</v>
      </c>
      <c r="I131" s="19">
        <v>1</v>
      </c>
      <c r="J131" s="19" t="s">
        <v>178</v>
      </c>
      <c r="K131" s="19" t="s">
        <v>274</v>
      </c>
      <c r="L131" s="19">
        <v>1128</v>
      </c>
      <c r="M131" s="28">
        <f t="shared" ca="1" si="4"/>
        <v>3</v>
      </c>
    </row>
    <row r="132" spans="1:13" x14ac:dyDescent="0.35">
      <c r="A132" s="19" t="s">
        <v>138</v>
      </c>
      <c r="B132" s="19" t="s">
        <v>165</v>
      </c>
      <c r="C132" s="19" t="s">
        <v>338</v>
      </c>
      <c r="D132" s="19" t="s">
        <v>344</v>
      </c>
      <c r="E132" s="19">
        <v>62994</v>
      </c>
      <c r="F132" s="22" t="str">
        <f t="shared" si="6"/>
        <v>62994</v>
      </c>
      <c r="G132" s="19">
        <v>62994</v>
      </c>
      <c r="H132" s="20">
        <v>42911</v>
      </c>
      <c r="I132" s="19">
        <v>3</v>
      </c>
      <c r="J132" s="19" t="s">
        <v>178</v>
      </c>
      <c r="K132" s="19" t="s">
        <v>221</v>
      </c>
      <c r="L132" s="19">
        <v>1129</v>
      </c>
      <c r="M132" s="28">
        <f t="shared" ca="1" si="4"/>
        <v>27</v>
      </c>
    </row>
    <row r="133" spans="1:13" x14ac:dyDescent="0.35">
      <c r="A133" s="19" t="s">
        <v>139</v>
      </c>
      <c r="B133" s="19" t="s">
        <v>160</v>
      </c>
      <c r="C133" s="19" t="s">
        <v>336</v>
      </c>
      <c r="D133" s="19" t="s">
        <v>343</v>
      </c>
      <c r="E133" s="19">
        <v>48289</v>
      </c>
      <c r="F133" s="22" t="str">
        <f t="shared" si="6"/>
        <v>48289</v>
      </c>
      <c r="G133" s="19">
        <v>48289</v>
      </c>
      <c r="H133" s="20" t="s">
        <v>178</v>
      </c>
      <c r="I133" s="19">
        <v>3</v>
      </c>
      <c r="J133" s="19" t="s">
        <v>180</v>
      </c>
      <c r="K133" s="19" t="s">
        <v>189</v>
      </c>
      <c r="L133" s="19">
        <v>1130</v>
      </c>
      <c r="M133" s="28">
        <f t="shared" ref="M133:M152" ca="1" si="7">IF(H133="Unknown",0,DATEDIF(H133, TODAY(), "MD"))</f>
        <v>0</v>
      </c>
    </row>
    <row r="134" spans="1:13" x14ac:dyDescent="0.35">
      <c r="A134" s="19" t="s">
        <v>140</v>
      </c>
      <c r="B134" s="19" t="s">
        <v>163</v>
      </c>
      <c r="C134" s="19" t="s">
        <v>337</v>
      </c>
      <c r="D134" s="19" t="s">
        <v>341</v>
      </c>
      <c r="E134" s="19">
        <v>34402</v>
      </c>
      <c r="F134" s="22" t="str">
        <f t="shared" si="6"/>
        <v>34402</v>
      </c>
      <c r="G134" s="19">
        <v>34402</v>
      </c>
      <c r="H134" s="20">
        <v>42925</v>
      </c>
      <c r="I134" s="19">
        <v>3</v>
      </c>
      <c r="J134" s="19" t="s">
        <v>179</v>
      </c>
      <c r="K134" s="19" t="s">
        <v>218</v>
      </c>
      <c r="L134" s="19">
        <v>1131</v>
      </c>
      <c r="M134" s="28">
        <f t="shared" ca="1" si="7"/>
        <v>12</v>
      </c>
    </row>
    <row r="135" spans="1:13" x14ac:dyDescent="0.35">
      <c r="A135" s="19" t="s">
        <v>141</v>
      </c>
      <c r="B135" s="19" t="s">
        <v>159</v>
      </c>
      <c r="C135" s="19" t="s">
        <v>167</v>
      </c>
      <c r="D135" s="19" t="s">
        <v>342</v>
      </c>
      <c r="E135" s="19">
        <v>38678</v>
      </c>
      <c r="F135" s="22" t="str">
        <f t="shared" si="6"/>
        <v>38678</v>
      </c>
      <c r="G135" s="19">
        <v>38678</v>
      </c>
      <c r="H135" s="20">
        <v>42932</v>
      </c>
      <c r="I135" s="19">
        <v>3</v>
      </c>
      <c r="J135" s="19" t="s">
        <v>179</v>
      </c>
      <c r="K135" s="19" t="s">
        <v>275</v>
      </c>
      <c r="L135" s="19">
        <v>1132</v>
      </c>
      <c r="M135" s="28">
        <f t="shared" ca="1" si="7"/>
        <v>5</v>
      </c>
    </row>
    <row r="136" spans="1:13" x14ac:dyDescent="0.35">
      <c r="A136" s="19" t="s">
        <v>142</v>
      </c>
      <c r="B136" s="19" t="s">
        <v>164</v>
      </c>
      <c r="C136" s="19" t="s">
        <v>167</v>
      </c>
      <c r="D136" s="19" t="s">
        <v>341</v>
      </c>
      <c r="E136" s="19">
        <v>45758</v>
      </c>
      <c r="F136" s="22" t="str">
        <f t="shared" si="6"/>
        <v>45758</v>
      </c>
      <c r="G136" s="19">
        <v>45758</v>
      </c>
      <c r="H136" s="20">
        <v>42939</v>
      </c>
      <c r="I136" s="19">
        <v>3</v>
      </c>
      <c r="J136" s="19" t="s">
        <v>178</v>
      </c>
      <c r="K136" s="19" t="s">
        <v>264</v>
      </c>
      <c r="L136" s="19">
        <v>1133</v>
      </c>
      <c r="M136" s="28">
        <f t="shared" ca="1" si="7"/>
        <v>29</v>
      </c>
    </row>
    <row r="137" spans="1:13" x14ac:dyDescent="0.35">
      <c r="A137" s="19" t="s">
        <v>143</v>
      </c>
      <c r="B137" s="19" t="s">
        <v>159</v>
      </c>
      <c r="C137" s="19" t="s">
        <v>337</v>
      </c>
      <c r="D137" s="19" t="s">
        <v>343</v>
      </c>
      <c r="E137" s="19">
        <v>62476</v>
      </c>
      <c r="F137" s="22" t="str">
        <f t="shared" si="6"/>
        <v>62476</v>
      </c>
      <c r="G137" s="19">
        <v>62476</v>
      </c>
      <c r="H137" s="20">
        <v>42946</v>
      </c>
      <c r="I137" s="19">
        <v>1</v>
      </c>
      <c r="J137" s="19" t="s">
        <v>179</v>
      </c>
      <c r="K137" s="19" t="s">
        <v>231</v>
      </c>
      <c r="L137" s="19">
        <v>1134</v>
      </c>
      <c r="M137" s="28">
        <f t="shared" ca="1" si="7"/>
        <v>22</v>
      </c>
    </row>
    <row r="138" spans="1:13" x14ac:dyDescent="0.35">
      <c r="A138" s="19" t="s">
        <v>144</v>
      </c>
      <c r="B138" s="19" t="s">
        <v>178</v>
      </c>
      <c r="C138" s="19" t="s">
        <v>169</v>
      </c>
      <c r="D138" s="19" t="s">
        <v>344</v>
      </c>
      <c r="E138" s="19">
        <v>39280</v>
      </c>
      <c r="F138" s="22" t="str">
        <f t="shared" si="6"/>
        <v>39280</v>
      </c>
      <c r="G138" s="19">
        <v>39280</v>
      </c>
      <c r="H138" s="20">
        <v>42953</v>
      </c>
      <c r="I138" s="19">
        <v>3</v>
      </c>
      <c r="J138" s="19" t="s">
        <v>181</v>
      </c>
      <c r="K138" s="19" t="s">
        <v>214</v>
      </c>
      <c r="L138" s="19">
        <v>1135</v>
      </c>
      <c r="M138" s="28">
        <f t="shared" ca="1" si="7"/>
        <v>15</v>
      </c>
    </row>
    <row r="139" spans="1:13" x14ac:dyDescent="0.35">
      <c r="A139" s="19" t="s">
        <v>145</v>
      </c>
      <c r="B139" s="19" t="s">
        <v>162</v>
      </c>
      <c r="C139" s="19" t="s">
        <v>335</v>
      </c>
      <c r="D139" s="19" t="s">
        <v>343</v>
      </c>
      <c r="E139" s="19">
        <v>60335</v>
      </c>
      <c r="F139" s="22" t="str">
        <f t="shared" si="6"/>
        <v>60335</v>
      </c>
      <c r="G139" s="19">
        <v>60335</v>
      </c>
      <c r="H139" s="20">
        <v>42960</v>
      </c>
      <c r="I139" s="19">
        <v>4</v>
      </c>
      <c r="J139" s="19" t="s">
        <v>179</v>
      </c>
      <c r="K139" s="19" t="s">
        <v>227</v>
      </c>
      <c r="L139" s="19">
        <v>1136</v>
      </c>
      <c r="M139" s="28">
        <f t="shared" ca="1" si="7"/>
        <v>8</v>
      </c>
    </row>
    <row r="140" spans="1:13" x14ac:dyDescent="0.35">
      <c r="A140" s="19" t="s">
        <v>146</v>
      </c>
      <c r="B140" s="19" t="s">
        <v>164</v>
      </c>
      <c r="C140" s="19" t="s">
        <v>167</v>
      </c>
      <c r="D140" s="19" t="s">
        <v>341</v>
      </c>
      <c r="E140" s="19">
        <v>84968</v>
      </c>
      <c r="F140" s="22" t="str">
        <f t="shared" si="6"/>
        <v>84968</v>
      </c>
      <c r="G140" s="19">
        <v>84968</v>
      </c>
      <c r="H140" s="20">
        <v>42967</v>
      </c>
      <c r="I140" s="19">
        <v>3</v>
      </c>
      <c r="J140" s="19" t="s">
        <v>178</v>
      </c>
      <c r="K140" s="19" t="s">
        <v>276</v>
      </c>
      <c r="L140" s="19">
        <v>1137</v>
      </c>
      <c r="M140" s="28">
        <f t="shared" ca="1" si="7"/>
        <v>1</v>
      </c>
    </row>
    <row r="141" spans="1:13" x14ac:dyDescent="0.35">
      <c r="A141" s="19" t="s">
        <v>147</v>
      </c>
      <c r="B141" s="19" t="s">
        <v>164</v>
      </c>
      <c r="C141" s="19" t="s">
        <v>337</v>
      </c>
      <c r="D141" s="19" t="s">
        <v>345</v>
      </c>
      <c r="E141" s="19">
        <v>84750</v>
      </c>
      <c r="F141" s="22" t="str">
        <f t="shared" si="6"/>
        <v>84750</v>
      </c>
      <c r="G141" s="19">
        <v>84750</v>
      </c>
      <c r="H141" s="20">
        <v>42974</v>
      </c>
      <c r="I141" s="19">
        <v>4</v>
      </c>
      <c r="J141" s="19" t="s">
        <v>181</v>
      </c>
      <c r="K141" s="19" t="s">
        <v>195</v>
      </c>
      <c r="L141" s="19">
        <v>1138</v>
      </c>
      <c r="M141" s="28">
        <f t="shared" ca="1" si="7"/>
        <v>25</v>
      </c>
    </row>
    <row r="142" spans="1:13" x14ac:dyDescent="0.35">
      <c r="A142" s="19" t="s">
        <v>148</v>
      </c>
      <c r="B142" s="19" t="s">
        <v>165</v>
      </c>
      <c r="C142" s="19" t="s">
        <v>169</v>
      </c>
      <c r="D142" s="19" t="s">
        <v>340</v>
      </c>
      <c r="E142" s="19">
        <v>73348</v>
      </c>
      <c r="F142" s="22" t="str">
        <f t="shared" si="6"/>
        <v>73348</v>
      </c>
      <c r="G142" s="19">
        <v>73348</v>
      </c>
      <c r="H142" s="20">
        <v>42981</v>
      </c>
      <c r="I142" s="19">
        <v>2</v>
      </c>
      <c r="J142" s="19" t="s">
        <v>178</v>
      </c>
      <c r="K142" s="19" t="s">
        <v>243</v>
      </c>
      <c r="L142" s="19">
        <v>1139</v>
      </c>
      <c r="M142" s="28">
        <f t="shared" ca="1" si="7"/>
        <v>18</v>
      </c>
    </row>
    <row r="143" spans="1:13" x14ac:dyDescent="0.35">
      <c r="A143" s="19" t="s">
        <v>149</v>
      </c>
      <c r="B143" s="19" t="s">
        <v>164</v>
      </c>
      <c r="C143" s="19" t="s">
        <v>336</v>
      </c>
      <c r="D143" s="19" t="s">
        <v>342</v>
      </c>
      <c r="E143" s="19" t="s">
        <v>177</v>
      </c>
      <c r="F143" s="22" t="str">
        <f t="shared" si="6"/>
        <v>0</v>
      </c>
      <c r="G143" s="19">
        <v>67929</v>
      </c>
      <c r="H143" s="20">
        <v>42988</v>
      </c>
      <c r="I143" s="19">
        <v>4</v>
      </c>
      <c r="J143" s="19" t="s">
        <v>179</v>
      </c>
      <c r="K143" s="19" t="s">
        <v>182</v>
      </c>
      <c r="L143" s="19">
        <v>1140</v>
      </c>
      <c r="M143" s="28">
        <f t="shared" ca="1" si="7"/>
        <v>11</v>
      </c>
    </row>
    <row r="144" spans="1:13" x14ac:dyDescent="0.35">
      <c r="A144" s="19" t="s">
        <v>150</v>
      </c>
      <c r="B144" s="19" t="s">
        <v>162</v>
      </c>
      <c r="C144" s="19" t="s">
        <v>337</v>
      </c>
      <c r="D144" s="19" t="s">
        <v>342</v>
      </c>
      <c r="E144" s="19">
        <v>66882</v>
      </c>
      <c r="F144" s="22" t="str">
        <f t="shared" si="6"/>
        <v>66882</v>
      </c>
      <c r="G144" s="19">
        <v>66882</v>
      </c>
      <c r="H144" s="20">
        <v>42995</v>
      </c>
      <c r="I144" s="19">
        <v>5</v>
      </c>
      <c r="J144" s="19" t="s">
        <v>179</v>
      </c>
      <c r="K144" s="19" t="s">
        <v>207</v>
      </c>
      <c r="L144" s="19">
        <v>1141</v>
      </c>
      <c r="M144" s="28">
        <f t="shared" ca="1" si="7"/>
        <v>4</v>
      </c>
    </row>
    <row r="145" spans="1:13" x14ac:dyDescent="0.35">
      <c r="A145" s="19" t="s">
        <v>151</v>
      </c>
      <c r="B145" s="19" t="s">
        <v>160</v>
      </c>
      <c r="C145" s="19" t="s">
        <v>337</v>
      </c>
      <c r="D145" s="19" t="s">
        <v>340</v>
      </c>
      <c r="E145" s="19">
        <v>86775</v>
      </c>
      <c r="F145" s="22" t="str">
        <f t="shared" si="6"/>
        <v>86775</v>
      </c>
      <c r="G145" s="19">
        <v>86775</v>
      </c>
      <c r="H145" s="20">
        <v>43002</v>
      </c>
      <c r="I145" s="19">
        <v>3</v>
      </c>
      <c r="J145" s="19" t="s">
        <v>179</v>
      </c>
      <c r="K145" s="19" t="s">
        <v>212</v>
      </c>
      <c r="L145" s="19">
        <v>1142</v>
      </c>
      <c r="M145" s="28">
        <f t="shared" ca="1" si="7"/>
        <v>28</v>
      </c>
    </row>
    <row r="146" spans="1:13" x14ac:dyDescent="0.35">
      <c r="A146" s="19" t="s">
        <v>152</v>
      </c>
      <c r="B146" s="19" t="s">
        <v>164</v>
      </c>
      <c r="C146" s="19" t="s">
        <v>336</v>
      </c>
      <c r="D146" s="19" t="s">
        <v>344</v>
      </c>
      <c r="E146" s="19">
        <v>91620</v>
      </c>
      <c r="F146" s="22" t="str">
        <f t="shared" si="6"/>
        <v>91620</v>
      </c>
      <c r="G146" s="19">
        <v>91620</v>
      </c>
      <c r="H146" s="20">
        <v>43009</v>
      </c>
      <c r="I146" s="19">
        <v>3</v>
      </c>
      <c r="J146" s="19" t="s">
        <v>178</v>
      </c>
      <c r="K146" s="19" t="s">
        <v>277</v>
      </c>
      <c r="L146" s="19">
        <v>1143</v>
      </c>
      <c r="M146" s="28">
        <f t="shared" ca="1" si="7"/>
        <v>20</v>
      </c>
    </row>
    <row r="147" spans="1:13" x14ac:dyDescent="0.35">
      <c r="A147" s="19" t="s">
        <v>153</v>
      </c>
      <c r="B147" s="19" t="s">
        <v>159</v>
      </c>
      <c r="C147" s="19" t="s">
        <v>338</v>
      </c>
      <c r="D147" s="19" t="s">
        <v>340</v>
      </c>
      <c r="E147" s="19">
        <v>94148</v>
      </c>
      <c r="F147" s="22" t="str">
        <f t="shared" si="6"/>
        <v>94148</v>
      </c>
      <c r="G147" s="19">
        <v>94148</v>
      </c>
      <c r="H147" s="20">
        <v>43016</v>
      </c>
      <c r="I147" s="19">
        <v>2</v>
      </c>
      <c r="J147" s="19" t="s">
        <v>178</v>
      </c>
      <c r="K147" s="19" t="s">
        <v>278</v>
      </c>
      <c r="L147" s="19">
        <v>1144</v>
      </c>
      <c r="M147" s="28">
        <f t="shared" ca="1" si="7"/>
        <v>13</v>
      </c>
    </row>
    <row r="148" spans="1:13" x14ac:dyDescent="0.35">
      <c r="A148" s="19" t="s">
        <v>154</v>
      </c>
      <c r="B148" s="19" t="s">
        <v>163</v>
      </c>
      <c r="C148" s="19" t="s">
        <v>336</v>
      </c>
      <c r="D148" s="19" t="s">
        <v>345</v>
      </c>
      <c r="E148" s="19">
        <v>35627</v>
      </c>
      <c r="F148" s="22" t="str">
        <f t="shared" si="6"/>
        <v>35627</v>
      </c>
      <c r="G148" s="19">
        <v>35627</v>
      </c>
      <c r="H148" s="20">
        <v>43023</v>
      </c>
      <c r="I148" s="19">
        <v>5</v>
      </c>
      <c r="J148" s="19" t="s">
        <v>181</v>
      </c>
      <c r="K148" s="19" t="s">
        <v>275</v>
      </c>
      <c r="L148" s="19">
        <v>1145</v>
      </c>
      <c r="M148" s="28">
        <f t="shared" ca="1" si="7"/>
        <v>6</v>
      </c>
    </row>
    <row r="149" spans="1:13" x14ac:dyDescent="0.35">
      <c r="A149" s="19" t="s">
        <v>155</v>
      </c>
      <c r="B149" s="19" t="s">
        <v>161</v>
      </c>
      <c r="C149" s="19" t="s">
        <v>337</v>
      </c>
      <c r="D149" s="19" t="s">
        <v>342</v>
      </c>
      <c r="E149" s="19">
        <v>57141</v>
      </c>
      <c r="F149" s="22" t="str">
        <f t="shared" si="6"/>
        <v>57141</v>
      </c>
      <c r="G149" s="19">
        <v>57141</v>
      </c>
      <c r="H149" s="20">
        <v>43030</v>
      </c>
      <c r="I149" s="19">
        <v>2</v>
      </c>
      <c r="J149" s="19" t="s">
        <v>178</v>
      </c>
      <c r="K149" s="19" t="s">
        <v>276</v>
      </c>
      <c r="L149" s="19">
        <v>1146</v>
      </c>
      <c r="M149" s="28">
        <f t="shared" ca="1" si="7"/>
        <v>30</v>
      </c>
    </row>
    <row r="150" spans="1:13" x14ac:dyDescent="0.35">
      <c r="A150" s="19" t="s">
        <v>156</v>
      </c>
      <c r="B150" s="19" t="s">
        <v>165</v>
      </c>
      <c r="C150" s="19" t="s">
        <v>336</v>
      </c>
      <c r="D150" s="19" t="s">
        <v>345</v>
      </c>
      <c r="E150" s="19">
        <v>65270</v>
      </c>
      <c r="F150" s="22" t="str">
        <f t="shared" si="6"/>
        <v>65270</v>
      </c>
      <c r="G150" s="19">
        <v>65270</v>
      </c>
      <c r="H150" s="20">
        <v>43037</v>
      </c>
      <c r="I150" s="19">
        <v>1</v>
      </c>
      <c r="J150" s="19" t="s">
        <v>178</v>
      </c>
      <c r="K150" s="19" t="s">
        <v>279</v>
      </c>
      <c r="L150" s="19">
        <v>1147</v>
      </c>
      <c r="M150" s="28">
        <f t="shared" ca="1" si="7"/>
        <v>23</v>
      </c>
    </row>
    <row r="151" spans="1:13" x14ac:dyDescent="0.35">
      <c r="A151" s="19" t="s">
        <v>157</v>
      </c>
      <c r="B151" s="19" t="s">
        <v>165</v>
      </c>
      <c r="C151" s="19" t="s">
        <v>338</v>
      </c>
      <c r="D151" s="19" t="s">
        <v>344</v>
      </c>
      <c r="E151" s="19">
        <v>67335</v>
      </c>
      <c r="F151" s="22" t="str">
        <f t="shared" si="6"/>
        <v>67335</v>
      </c>
      <c r="G151" s="19">
        <v>67335</v>
      </c>
      <c r="H151" s="20">
        <v>43044</v>
      </c>
      <c r="I151" s="19">
        <v>1</v>
      </c>
      <c r="J151" s="19" t="s">
        <v>179</v>
      </c>
      <c r="K151" s="19" t="s">
        <v>233</v>
      </c>
      <c r="L151" s="19">
        <v>1148</v>
      </c>
      <c r="M151" s="28">
        <f t="shared" ca="1" si="7"/>
        <v>16</v>
      </c>
    </row>
    <row r="152" spans="1:13" x14ac:dyDescent="0.35">
      <c r="A152" s="19" t="s">
        <v>158</v>
      </c>
      <c r="B152" s="19" t="s">
        <v>163</v>
      </c>
      <c r="C152" s="19" t="s">
        <v>337</v>
      </c>
      <c r="D152" s="19" t="s">
        <v>343</v>
      </c>
      <c r="E152" s="19">
        <v>98475</v>
      </c>
      <c r="F152" s="22" t="str">
        <f t="shared" si="6"/>
        <v>98475</v>
      </c>
      <c r="G152" s="19">
        <v>98475</v>
      </c>
      <c r="H152" s="20">
        <v>43051</v>
      </c>
      <c r="I152" s="19">
        <v>5</v>
      </c>
      <c r="J152" s="19" t="s">
        <v>179</v>
      </c>
      <c r="K152" s="19" t="s">
        <v>280</v>
      </c>
      <c r="L152" s="19">
        <v>1149</v>
      </c>
      <c r="M152" s="28">
        <f t="shared" ca="1" si="7"/>
        <v>9</v>
      </c>
    </row>
    <row r="153" spans="1:13" x14ac:dyDescent="0.35">
      <c r="F153" s="27"/>
      <c r="H153" s="21"/>
    </row>
    <row r="154" spans="1:13" x14ac:dyDescent="0.35">
      <c r="F154" s="31"/>
      <c r="G154" s="32"/>
      <c r="H154" s="21"/>
      <c r="M154" s="32"/>
    </row>
    <row r="155" spans="1:13" s="23" customFormat="1" ht="43.5" x14ac:dyDescent="0.35">
      <c r="A155" s="30" t="s">
        <v>353</v>
      </c>
      <c r="B155" s="18"/>
      <c r="C155" s="18"/>
      <c r="D155" s="18" t="s">
        <v>339</v>
      </c>
      <c r="E155" s="18"/>
      <c r="F155" s="18"/>
      <c r="G155" s="18"/>
      <c r="H155" s="18" t="s">
        <v>389</v>
      </c>
      <c r="I155" s="18"/>
      <c r="J155" s="18"/>
      <c r="K155" s="18"/>
      <c r="L155" s="18" t="s">
        <v>393</v>
      </c>
      <c r="M155" s="18" t="s">
        <v>399</v>
      </c>
    </row>
    <row r="156" spans="1:13" ht="37" x14ac:dyDescent="0.35">
      <c r="A156" s="9" t="s">
        <v>0</v>
      </c>
      <c r="B156" s="9" t="s">
        <v>402</v>
      </c>
      <c r="C156" s="10" t="s">
        <v>403</v>
      </c>
      <c r="D156" s="9" t="s">
        <v>310</v>
      </c>
      <c r="E156" s="9" t="s">
        <v>4</v>
      </c>
      <c r="F156" s="10" t="s">
        <v>304</v>
      </c>
      <c r="G156" s="10" t="s">
        <v>305</v>
      </c>
      <c r="H156" s="9" t="s">
        <v>404</v>
      </c>
      <c r="I156" s="10" t="s">
        <v>6</v>
      </c>
      <c r="J156" s="10" t="s">
        <v>309</v>
      </c>
      <c r="K156" s="16" t="s">
        <v>8</v>
      </c>
      <c r="L156" s="9" t="s">
        <v>392</v>
      </c>
      <c r="M156" s="29" t="s">
        <v>401</v>
      </c>
    </row>
    <row r="157" spans="1:13" x14ac:dyDescent="0.35">
      <c r="A157" s="30" t="s">
        <v>382</v>
      </c>
      <c r="F157" s="31"/>
      <c r="G157" s="30" t="s">
        <v>405</v>
      </c>
      <c r="H157" s="21"/>
      <c r="M157" s="32"/>
    </row>
    <row r="158" spans="1:13" x14ac:dyDescent="0.35">
      <c r="F158" s="31"/>
      <c r="G158" s="32"/>
      <c r="H158" s="21"/>
      <c r="M158" s="32"/>
    </row>
    <row r="159" spans="1:13" x14ac:dyDescent="0.35">
      <c r="F159" s="31"/>
      <c r="G159" s="32"/>
      <c r="H159" s="21"/>
      <c r="M159" s="32"/>
    </row>
    <row r="160" spans="1:13" x14ac:dyDescent="0.35">
      <c r="F160" s="31"/>
      <c r="G160" s="32"/>
      <c r="H160" s="21"/>
      <c r="M160" s="32"/>
    </row>
    <row r="161" spans="1:13" x14ac:dyDescent="0.35">
      <c r="F161" s="31"/>
      <c r="G161" s="32"/>
      <c r="H161" s="21"/>
      <c r="M161" s="32"/>
    </row>
    <row r="162" spans="1:13" x14ac:dyDescent="0.35">
      <c r="F162" s="31"/>
      <c r="G162" s="32"/>
      <c r="H162" s="21"/>
      <c r="M162" s="32"/>
    </row>
    <row r="163" spans="1:13" x14ac:dyDescent="0.35">
      <c r="F163" s="31"/>
      <c r="G163" s="32"/>
      <c r="H163" s="21"/>
      <c r="M163" s="32"/>
    </row>
    <row r="164" spans="1:13" x14ac:dyDescent="0.35">
      <c r="F164" s="31"/>
      <c r="G164" s="32"/>
      <c r="H164" s="21"/>
      <c r="M164" s="32"/>
    </row>
    <row r="165" spans="1:13" x14ac:dyDescent="0.35">
      <c r="F165" s="31"/>
      <c r="G165" s="32"/>
      <c r="H165" s="21"/>
      <c r="M165" s="32"/>
    </row>
    <row r="166" spans="1:13" x14ac:dyDescent="0.35">
      <c r="F166" s="31"/>
      <c r="G166" s="32"/>
      <c r="H166" s="21"/>
      <c r="M166" s="32"/>
    </row>
    <row r="167" spans="1:13" x14ac:dyDescent="0.35">
      <c r="F167" s="31"/>
      <c r="G167" s="32"/>
      <c r="H167" s="21"/>
      <c r="M167" s="32"/>
    </row>
    <row r="168" spans="1:13" x14ac:dyDescent="0.35">
      <c r="F168" s="31"/>
      <c r="G168" s="32"/>
      <c r="H168" s="21"/>
      <c r="M168" s="32"/>
    </row>
    <row r="169" spans="1:13" x14ac:dyDescent="0.35">
      <c r="F169" s="31"/>
      <c r="G169" s="32"/>
      <c r="H169" s="21"/>
      <c r="M169" s="32"/>
    </row>
    <row r="170" spans="1:13" x14ac:dyDescent="0.35">
      <c r="F170" s="31"/>
      <c r="G170" s="32"/>
      <c r="H170" s="21"/>
      <c r="M170" s="32"/>
    </row>
    <row r="171" spans="1:13" x14ac:dyDescent="0.35">
      <c r="F171" s="31"/>
      <c r="G171" s="32"/>
      <c r="H171" s="21"/>
      <c r="M171" s="32"/>
    </row>
    <row r="172" spans="1:13" x14ac:dyDescent="0.35">
      <c r="F172" s="31"/>
      <c r="G172" s="32"/>
      <c r="H172" s="21"/>
      <c r="M172" s="32"/>
    </row>
    <row r="173" spans="1:13" x14ac:dyDescent="0.35">
      <c r="F173" s="31"/>
      <c r="G173" s="32"/>
      <c r="H173" s="21"/>
      <c r="M173" s="32"/>
    </row>
    <row r="174" spans="1:13" x14ac:dyDescent="0.35">
      <c r="F174" s="31"/>
      <c r="G174" s="32"/>
      <c r="H174" s="21"/>
      <c r="M174" s="32"/>
    </row>
    <row r="175" spans="1:13" x14ac:dyDescent="0.35">
      <c r="A175" s="48" t="s">
        <v>383</v>
      </c>
      <c r="B175" s="48"/>
      <c r="C175" s="48"/>
      <c r="D175" s="48"/>
      <c r="M175" s="32"/>
    </row>
    <row r="176" spans="1:13" x14ac:dyDescent="0.35">
      <c r="A176" s="50" t="s">
        <v>4</v>
      </c>
      <c r="B176" s="51"/>
      <c r="C176" s="52" t="s">
        <v>328</v>
      </c>
      <c r="D176" s="53"/>
      <c r="M176" s="32"/>
    </row>
    <row r="177" spans="1:13" x14ac:dyDescent="0.35">
      <c r="A177" s="25" t="s">
        <v>316</v>
      </c>
      <c r="B177" s="26">
        <v>66240.566666666666</v>
      </c>
      <c r="C177" s="25" t="s">
        <v>316</v>
      </c>
      <c r="D177" s="25">
        <v>2.8933333333333335</v>
      </c>
      <c r="M177" s="32"/>
    </row>
    <row r="178" spans="1:13" x14ac:dyDescent="0.35">
      <c r="A178" s="25" t="s">
        <v>317</v>
      </c>
      <c r="B178" s="26">
        <v>1718.5655770792837</v>
      </c>
      <c r="C178" s="25" t="s">
        <v>317</v>
      </c>
      <c r="D178" s="25">
        <v>0.10750231948662189</v>
      </c>
      <c r="M178" s="32"/>
    </row>
    <row r="179" spans="1:13" x14ac:dyDescent="0.35">
      <c r="A179" s="25" t="s">
        <v>318</v>
      </c>
      <c r="B179" s="26">
        <v>66330.5</v>
      </c>
      <c r="C179" s="25" t="s">
        <v>318</v>
      </c>
      <c r="D179" s="25">
        <v>3</v>
      </c>
    </row>
    <row r="180" spans="1:13" x14ac:dyDescent="0.35">
      <c r="A180" s="25" t="s">
        <v>308</v>
      </c>
      <c r="B180" s="26">
        <v>63687</v>
      </c>
      <c r="C180" s="25" t="s">
        <v>308</v>
      </c>
      <c r="D180" s="25">
        <v>3</v>
      </c>
    </row>
    <row r="181" spans="1:13" x14ac:dyDescent="0.35">
      <c r="A181" s="25" t="s">
        <v>319</v>
      </c>
      <c r="B181" s="26">
        <v>21048.043766779792</v>
      </c>
      <c r="C181" s="25" t="s">
        <v>319</v>
      </c>
      <c r="D181" s="25">
        <v>1.3166291445394025</v>
      </c>
    </row>
    <row r="182" spans="1:13" x14ac:dyDescent="0.35">
      <c r="A182" s="25" t="s">
        <v>320</v>
      </c>
      <c r="B182" s="26">
        <v>443020146.40827769</v>
      </c>
      <c r="C182" s="25" t="s">
        <v>320</v>
      </c>
      <c r="D182" s="25">
        <v>1.7335123042505589</v>
      </c>
    </row>
    <row r="183" spans="1:13" x14ac:dyDescent="0.35">
      <c r="A183" s="25" t="s">
        <v>321</v>
      </c>
      <c r="B183" s="26">
        <v>-1.1897402117668621</v>
      </c>
      <c r="C183" s="25" t="s">
        <v>321</v>
      </c>
      <c r="D183" s="25">
        <v>-0.92673447257923369</v>
      </c>
    </row>
    <row r="184" spans="1:13" x14ac:dyDescent="0.35">
      <c r="A184" s="25" t="s">
        <v>322</v>
      </c>
      <c r="B184" s="26">
        <v>-0.11584427781012709</v>
      </c>
      <c r="C184" s="25" t="s">
        <v>322</v>
      </c>
      <c r="D184" s="25">
        <v>0.10978027104089233</v>
      </c>
    </row>
    <row r="185" spans="1:13" x14ac:dyDescent="0.35">
      <c r="A185" s="25" t="s">
        <v>323</v>
      </c>
      <c r="B185" s="26">
        <v>69341</v>
      </c>
      <c r="C185" s="25" t="s">
        <v>323</v>
      </c>
      <c r="D185" s="25">
        <v>4</v>
      </c>
    </row>
    <row r="186" spans="1:13" x14ac:dyDescent="0.35">
      <c r="A186" s="25" t="s">
        <v>324</v>
      </c>
      <c r="B186" s="26">
        <v>30280</v>
      </c>
      <c r="C186" s="25" t="s">
        <v>324</v>
      </c>
      <c r="D186" s="25">
        <v>1</v>
      </c>
    </row>
    <row r="187" spans="1:13" x14ac:dyDescent="0.35">
      <c r="A187" s="25" t="s">
        <v>325</v>
      </c>
      <c r="B187" s="26">
        <v>99621</v>
      </c>
      <c r="C187" s="25" t="s">
        <v>325</v>
      </c>
      <c r="D187" s="25">
        <v>5</v>
      </c>
    </row>
    <row r="188" spans="1:13" x14ac:dyDescent="0.35">
      <c r="A188" s="25" t="s">
        <v>326</v>
      </c>
      <c r="B188" s="26">
        <v>9936085</v>
      </c>
      <c r="C188" s="25" t="s">
        <v>326</v>
      </c>
      <c r="D188" s="25">
        <v>434</v>
      </c>
      <c r="E188" s="11"/>
    </row>
    <row r="189" spans="1:13" x14ac:dyDescent="0.35">
      <c r="A189" s="25" t="s">
        <v>327</v>
      </c>
      <c r="B189" s="26">
        <v>150</v>
      </c>
      <c r="C189" s="25" t="s">
        <v>327</v>
      </c>
      <c r="D189" s="25">
        <v>150</v>
      </c>
      <c r="E189" s="11"/>
      <c r="J189" s="1"/>
      <c r="K189" s="1"/>
    </row>
    <row r="190" spans="1:13" x14ac:dyDescent="0.35">
      <c r="E190" s="11"/>
      <c r="J190" s="1"/>
      <c r="K190" s="1"/>
    </row>
    <row r="191" spans="1:13" x14ac:dyDescent="0.35">
      <c r="E191" s="11"/>
      <c r="J191" s="1"/>
      <c r="K191" s="1"/>
    </row>
    <row r="192" spans="1:13" x14ac:dyDescent="0.35">
      <c r="A192" s="30" t="s">
        <v>384</v>
      </c>
      <c r="B192" s="54" t="s">
        <v>397</v>
      </c>
      <c r="C192" s="54"/>
      <c r="D192" s="54"/>
      <c r="E192" s="54"/>
      <c r="F192" s="54"/>
      <c r="G192" s="54"/>
      <c r="H192" s="54"/>
      <c r="I192" s="54"/>
      <c r="J192" s="54"/>
      <c r="K192" s="54"/>
      <c r="L192" s="54"/>
    </row>
    <row r="193" spans="1:12" ht="37" x14ac:dyDescent="0.35">
      <c r="A193" s="9" t="s">
        <v>0</v>
      </c>
      <c r="B193" s="9" t="s">
        <v>299</v>
      </c>
      <c r="C193" s="10" t="s">
        <v>300</v>
      </c>
      <c r="D193" s="9" t="s">
        <v>310</v>
      </c>
      <c r="E193" s="9" t="s">
        <v>4</v>
      </c>
      <c r="F193" s="10" t="s">
        <v>304</v>
      </c>
      <c r="G193" s="10" t="s">
        <v>305</v>
      </c>
      <c r="H193" s="9" t="s">
        <v>301</v>
      </c>
      <c r="I193" s="24" t="s">
        <v>6</v>
      </c>
      <c r="J193" s="10" t="s">
        <v>309</v>
      </c>
      <c r="K193" s="9" t="s">
        <v>8</v>
      </c>
      <c r="L193" s="9" t="s">
        <v>392</v>
      </c>
    </row>
    <row r="194" spans="1:12" x14ac:dyDescent="0.35">
      <c r="A194" s="19" t="s">
        <v>20</v>
      </c>
      <c r="B194" s="19" t="s">
        <v>163</v>
      </c>
      <c r="C194" s="19" t="s">
        <v>169</v>
      </c>
      <c r="D194" s="19" t="s">
        <v>342</v>
      </c>
      <c r="E194" s="19">
        <v>91180</v>
      </c>
      <c r="F194" s="19" t="s">
        <v>355</v>
      </c>
      <c r="G194" s="19">
        <v>91180</v>
      </c>
      <c r="H194" s="19">
        <v>42085</v>
      </c>
      <c r="I194" s="19">
        <v>5</v>
      </c>
      <c r="J194" s="19" t="s">
        <v>180</v>
      </c>
      <c r="K194" s="19" t="s">
        <v>192</v>
      </c>
      <c r="L194" s="19">
        <v>1011</v>
      </c>
    </row>
    <row r="195" spans="1:12" x14ac:dyDescent="0.35">
      <c r="A195" s="19" t="s">
        <v>21</v>
      </c>
      <c r="B195" s="19" t="s">
        <v>165</v>
      </c>
      <c r="C195" s="19" t="s">
        <v>336</v>
      </c>
      <c r="D195" s="19" t="s">
        <v>340</v>
      </c>
      <c r="E195" s="19">
        <v>96418</v>
      </c>
      <c r="F195" s="19" t="s">
        <v>356</v>
      </c>
      <c r="G195" s="19">
        <v>96418</v>
      </c>
      <c r="H195" s="19">
        <v>42092</v>
      </c>
      <c r="I195" s="19">
        <v>5</v>
      </c>
      <c r="J195" s="19" t="s">
        <v>180</v>
      </c>
      <c r="K195" s="19" t="s">
        <v>183</v>
      </c>
      <c r="L195" s="19">
        <v>1012</v>
      </c>
    </row>
    <row r="196" spans="1:12" x14ac:dyDescent="0.35">
      <c r="A196" s="19" t="s">
        <v>28</v>
      </c>
      <c r="B196" s="19" t="s">
        <v>159</v>
      </c>
      <c r="C196" s="19" t="s">
        <v>338</v>
      </c>
      <c r="D196" s="19" t="s">
        <v>343</v>
      </c>
      <c r="E196" s="19">
        <v>67531</v>
      </c>
      <c r="F196" s="19" t="s">
        <v>357</v>
      </c>
      <c r="G196" s="19">
        <v>67531</v>
      </c>
      <c r="H196" s="19">
        <v>42141</v>
      </c>
      <c r="I196" s="19">
        <v>5</v>
      </c>
      <c r="J196" s="19" t="s">
        <v>181</v>
      </c>
      <c r="K196" s="19" t="s">
        <v>199</v>
      </c>
      <c r="L196" s="19">
        <v>1019</v>
      </c>
    </row>
    <row r="197" spans="1:12" x14ac:dyDescent="0.35">
      <c r="A197" s="19" t="s">
        <v>31</v>
      </c>
      <c r="B197" s="19" t="s">
        <v>159</v>
      </c>
      <c r="C197" s="19" t="s">
        <v>335</v>
      </c>
      <c r="D197" s="19" t="s">
        <v>343</v>
      </c>
      <c r="E197" s="19">
        <v>38333</v>
      </c>
      <c r="F197" s="19" t="s">
        <v>358</v>
      </c>
      <c r="G197" s="19">
        <v>38333</v>
      </c>
      <c r="H197" s="19">
        <v>42162</v>
      </c>
      <c r="I197" s="19">
        <v>5</v>
      </c>
      <c r="J197" s="19" t="s">
        <v>178</v>
      </c>
      <c r="K197" s="19" t="s">
        <v>202</v>
      </c>
      <c r="L197" s="19">
        <v>1022</v>
      </c>
    </row>
    <row r="198" spans="1:12" x14ac:dyDescent="0.35">
      <c r="A198" s="19" t="s">
        <v>38</v>
      </c>
      <c r="B198" s="19" t="s">
        <v>165</v>
      </c>
      <c r="C198" s="19" t="s">
        <v>337</v>
      </c>
      <c r="D198" s="19" t="s">
        <v>344</v>
      </c>
      <c r="E198" s="19">
        <v>92959</v>
      </c>
      <c r="F198" s="19" t="s">
        <v>359</v>
      </c>
      <c r="G198" s="19">
        <v>92959</v>
      </c>
      <c r="H198" s="19">
        <v>42211</v>
      </c>
      <c r="I198" s="19">
        <v>5</v>
      </c>
      <c r="J198" s="19" t="s">
        <v>178</v>
      </c>
      <c r="K198" s="19" t="s">
        <v>209</v>
      </c>
      <c r="L198" s="19">
        <v>1029</v>
      </c>
    </row>
    <row r="199" spans="1:12" x14ac:dyDescent="0.35">
      <c r="A199" s="19" t="s">
        <v>47</v>
      </c>
      <c r="B199" s="19" t="s">
        <v>161</v>
      </c>
      <c r="C199" s="19" t="s">
        <v>337</v>
      </c>
      <c r="D199" s="19" t="s">
        <v>344</v>
      </c>
      <c r="E199" s="19">
        <v>52093</v>
      </c>
      <c r="F199" s="19" t="s">
        <v>360</v>
      </c>
      <c r="G199" s="19">
        <v>52093</v>
      </c>
      <c r="H199" s="19">
        <v>42274</v>
      </c>
      <c r="I199" s="19">
        <v>5</v>
      </c>
      <c r="J199" s="19" t="s">
        <v>178</v>
      </c>
      <c r="K199" s="19" t="s">
        <v>217</v>
      </c>
      <c r="L199" s="19">
        <v>1038</v>
      </c>
    </row>
    <row r="200" spans="1:12" x14ac:dyDescent="0.35">
      <c r="A200" s="19" t="s">
        <v>58</v>
      </c>
      <c r="B200" s="19" t="s">
        <v>159</v>
      </c>
      <c r="C200" s="19" t="s">
        <v>167</v>
      </c>
      <c r="D200" s="19" t="s">
        <v>341</v>
      </c>
      <c r="E200" s="19">
        <v>78720</v>
      </c>
      <c r="F200" s="19" t="s">
        <v>361</v>
      </c>
      <c r="G200" s="19">
        <v>78720</v>
      </c>
      <c r="H200" s="19">
        <v>42351</v>
      </c>
      <c r="I200" s="19">
        <v>5</v>
      </c>
      <c r="J200" s="19" t="s">
        <v>181</v>
      </c>
      <c r="K200" s="19" t="s">
        <v>219</v>
      </c>
      <c r="L200" s="19">
        <v>1049</v>
      </c>
    </row>
    <row r="201" spans="1:12" x14ac:dyDescent="0.35">
      <c r="A201" s="19" t="s">
        <v>60</v>
      </c>
      <c r="B201" s="19" t="s">
        <v>163</v>
      </c>
      <c r="C201" s="19" t="s">
        <v>336</v>
      </c>
      <c r="D201" s="19" t="s">
        <v>343</v>
      </c>
      <c r="E201" s="19">
        <v>39423</v>
      </c>
      <c r="F201" s="19" t="s">
        <v>363</v>
      </c>
      <c r="G201" s="19">
        <v>39423</v>
      </c>
      <c r="H201" s="19">
        <v>42365</v>
      </c>
      <c r="I201" s="19">
        <v>5</v>
      </c>
      <c r="J201" s="19" t="s">
        <v>178</v>
      </c>
      <c r="K201" s="19" t="s">
        <v>227</v>
      </c>
      <c r="L201" s="19">
        <v>1051</v>
      </c>
    </row>
    <row r="202" spans="1:12" x14ac:dyDescent="0.35">
      <c r="A202" s="19" t="s">
        <v>63</v>
      </c>
      <c r="B202" s="19" t="s">
        <v>165</v>
      </c>
      <c r="C202" s="19" t="s">
        <v>337</v>
      </c>
      <c r="D202" s="19" t="s">
        <v>344</v>
      </c>
      <c r="E202" s="19">
        <v>75633</v>
      </c>
      <c r="F202" s="19" t="s">
        <v>365</v>
      </c>
      <c r="G202" s="19">
        <v>75633</v>
      </c>
      <c r="H202" s="19">
        <v>42386</v>
      </c>
      <c r="I202" s="19">
        <v>5</v>
      </c>
      <c r="J202" s="19" t="s">
        <v>179</v>
      </c>
      <c r="K202" s="19" t="s">
        <v>229</v>
      </c>
      <c r="L202" s="19">
        <v>1054</v>
      </c>
    </row>
    <row r="203" spans="1:12" x14ac:dyDescent="0.35">
      <c r="A203" s="19" t="s">
        <v>64</v>
      </c>
      <c r="B203" s="19" t="s">
        <v>164</v>
      </c>
      <c r="C203" s="19" t="s">
        <v>338</v>
      </c>
      <c r="D203" s="19" t="s">
        <v>342</v>
      </c>
      <c r="E203" s="19">
        <v>74815</v>
      </c>
      <c r="F203" s="19" t="s">
        <v>366</v>
      </c>
      <c r="G203" s="19">
        <v>74815</v>
      </c>
      <c r="H203" s="19">
        <v>42393</v>
      </c>
      <c r="I203" s="19">
        <v>5</v>
      </c>
      <c r="J203" s="19" t="s">
        <v>181</v>
      </c>
      <c r="K203" s="19" t="s">
        <v>230</v>
      </c>
      <c r="L203" s="19">
        <v>1055</v>
      </c>
    </row>
    <row r="204" spans="1:12" x14ac:dyDescent="0.35">
      <c r="A204" s="19" t="s">
        <v>67</v>
      </c>
      <c r="B204" s="19" t="s">
        <v>163</v>
      </c>
      <c r="C204" s="19" t="s">
        <v>337</v>
      </c>
      <c r="D204" s="19" t="s">
        <v>340</v>
      </c>
      <c r="E204" s="19">
        <v>84924</v>
      </c>
      <c r="F204" s="19" t="s">
        <v>367</v>
      </c>
      <c r="G204" s="19">
        <v>84924</v>
      </c>
      <c r="H204" s="19">
        <v>42414</v>
      </c>
      <c r="I204" s="19">
        <v>5</v>
      </c>
      <c r="J204" s="19" t="s">
        <v>180</v>
      </c>
      <c r="K204" s="19" t="s">
        <v>232</v>
      </c>
      <c r="L204" s="19">
        <v>1058</v>
      </c>
    </row>
    <row r="205" spans="1:12" x14ac:dyDescent="0.35">
      <c r="A205" s="19" t="s">
        <v>69</v>
      </c>
      <c r="B205" s="19" t="s">
        <v>178</v>
      </c>
      <c r="C205" s="19" t="s">
        <v>337</v>
      </c>
      <c r="D205" s="19" t="s">
        <v>341</v>
      </c>
      <c r="E205" s="19" t="s">
        <v>177</v>
      </c>
      <c r="F205" s="19" t="s">
        <v>354</v>
      </c>
      <c r="G205" s="19">
        <v>63687</v>
      </c>
      <c r="H205" s="19" t="s">
        <v>178</v>
      </c>
      <c r="I205" s="19">
        <v>5</v>
      </c>
      <c r="J205" s="19" t="s">
        <v>178</v>
      </c>
      <c r="K205" s="19" t="s">
        <v>233</v>
      </c>
      <c r="L205" s="19">
        <v>1060</v>
      </c>
    </row>
    <row r="206" spans="1:12" x14ac:dyDescent="0.35">
      <c r="A206" s="19" t="s">
        <v>71</v>
      </c>
      <c r="B206" s="19" t="s">
        <v>164</v>
      </c>
      <c r="C206" s="19" t="s">
        <v>169</v>
      </c>
      <c r="D206" s="19" t="s">
        <v>344</v>
      </c>
      <c r="E206" s="19">
        <v>97981</v>
      </c>
      <c r="F206" s="19" t="s">
        <v>368</v>
      </c>
      <c r="G206" s="19">
        <v>97981</v>
      </c>
      <c r="H206" s="19">
        <v>42442</v>
      </c>
      <c r="I206" s="19">
        <v>5</v>
      </c>
      <c r="J206" s="19" t="s">
        <v>181</v>
      </c>
      <c r="K206" s="19" t="s">
        <v>234</v>
      </c>
      <c r="L206" s="19">
        <v>1062</v>
      </c>
    </row>
    <row r="207" spans="1:12" x14ac:dyDescent="0.35">
      <c r="A207" s="19" t="s">
        <v>79</v>
      </c>
      <c r="B207" s="19" t="s">
        <v>159</v>
      </c>
      <c r="C207" s="19" t="s">
        <v>336</v>
      </c>
      <c r="D207" s="19" t="s">
        <v>345</v>
      </c>
      <c r="E207" s="19">
        <v>69952</v>
      </c>
      <c r="F207" s="19" t="s">
        <v>369</v>
      </c>
      <c r="G207" s="19">
        <v>69952</v>
      </c>
      <c r="H207" s="19">
        <v>42498</v>
      </c>
      <c r="I207" s="19">
        <v>5</v>
      </c>
      <c r="J207" s="19" t="s">
        <v>181</v>
      </c>
      <c r="K207" s="19" t="s">
        <v>182</v>
      </c>
      <c r="L207" s="19">
        <v>1070</v>
      </c>
    </row>
    <row r="208" spans="1:12" x14ac:dyDescent="0.35">
      <c r="A208" s="19" t="s">
        <v>94</v>
      </c>
      <c r="B208" s="19" t="s">
        <v>164</v>
      </c>
      <c r="C208" s="19" t="s">
        <v>335</v>
      </c>
      <c r="D208" s="19" t="s">
        <v>340</v>
      </c>
      <c r="E208" s="19">
        <v>35163</v>
      </c>
      <c r="F208" s="19" t="s">
        <v>370</v>
      </c>
      <c r="G208" s="19">
        <v>35163</v>
      </c>
      <c r="H208" s="19">
        <v>42603</v>
      </c>
      <c r="I208" s="19">
        <v>5</v>
      </c>
      <c r="J208" s="19" t="s">
        <v>179</v>
      </c>
      <c r="K208" s="19" t="s">
        <v>249</v>
      </c>
      <c r="L208" s="19">
        <v>1085</v>
      </c>
    </row>
    <row r="209" spans="1:12" x14ac:dyDescent="0.35">
      <c r="A209" s="19" t="s">
        <v>101</v>
      </c>
      <c r="B209" s="19" t="s">
        <v>162</v>
      </c>
      <c r="C209" s="19" t="s">
        <v>169</v>
      </c>
      <c r="D209" s="19" t="s">
        <v>340</v>
      </c>
      <c r="E209" s="19">
        <v>80588</v>
      </c>
      <c r="F209" s="19" t="s">
        <v>371</v>
      </c>
      <c r="G209" s="19">
        <v>80588</v>
      </c>
      <c r="H209" s="19">
        <v>42652</v>
      </c>
      <c r="I209" s="19">
        <v>5</v>
      </c>
      <c r="J209" s="19" t="s">
        <v>180</v>
      </c>
      <c r="K209" s="19" t="s">
        <v>216</v>
      </c>
      <c r="L209" s="19">
        <v>1092</v>
      </c>
    </row>
    <row r="210" spans="1:12" x14ac:dyDescent="0.35">
      <c r="A210" s="19" t="s">
        <v>112</v>
      </c>
      <c r="B210" s="19" t="s">
        <v>160</v>
      </c>
      <c r="C210" s="19" t="s">
        <v>337</v>
      </c>
      <c r="D210" s="19" t="s">
        <v>340</v>
      </c>
      <c r="E210" s="19">
        <v>79145</v>
      </c>
      <c r="F210" s="19" t="s">
        <v>372</v>
      </c>
      <c r="G210" s="19">
        <v>79145</v>
      </c>
      <c r="H210" s="19">
        <v>42729</v>
      </c>
      <c r="I210" s="19">
        <v>5</v>
      </c>
      <c r="J210" s="19" t="s">
        <v>179</v>
      </c>
      <c r="K210" s="19" t="s">
        <v>223</v>
      </c>
      <c r="L210" s="19">
        <v>1103</v>
      </c>
    </row>
    <row r="211" spans="1:12" x14ac:dyDescent="0.35">
      <c r="A211" s="19" t="s">
        <v>120</v>
      </c>
      <c r="B211" s="19" t="s">
        <v>164</v>
      </c>
      <c r="C211" s="19" t="s">
        <v>169</v>
      </c>
      <c r="D211" s="19" t="s">
        <v>342</v>
      </c>
      <c r="E211" s="19">
        <v>34306</v>
      </c>
      <c r="F211" s="19" t="s">
        <v>374</v>
      </c>
      <c r="G211" s="19">
        <v>34306</v>
      </c>
      <c r="H211" s="19">
        <v>42785</v>
      </c>
      <c r="I211" s="19">
        <v>5</v>
      </c>
      <c r="J211" s="19" t="s">
        <v>181</v>
      </c>
      <c r="K211" s="19" t="s">
        <v>239</v>
      </c>
      <c r="L211" s="19">
        <v>1111</v>
      </c>
    </row>
    <row r="212" spans="1:12" x14ac:dyDescent="0.35">
      <c r="A212" s="19" t="s">
        <v>125</v>
      </c>
      <c r="B212" s="19" t="s">
        <v>165</v>
      </c>
      <c r="C212" s="19" t="s">
        <v>337</v>
      </c>
      <c r="D212" s="19" t="s">
        <v>345</v>
      </c>
      <c r="E212" s="19">
        <v>38837</v>
      </c>
      <c r="F212" s="19" t="s">
        <v>375</v>
      </c>
      <c r="G212" s="19">
        <v>38837</v>
      </c>
      <c r="H212" s="19">
        <v>42820</v>
      </c>
      <c r="I212" s="19">
        <v>5</v>
      </c>
      <c r="J212" s="19" t="s">
        <v>181</v>
      </c>
      <c r="K212" s="19" t="s">
        <v>239</v>
      </c>
      <c r="L212" s="19">
        <v>1116</v>
      </c>
    </row>
    <row r="213" spans="1:12" x14ac:dyDescent="0.35">
      <c r="A213" s="19" t="s">
        <v>129</v>
      </c>
      <c r="B213" s="19" t="s">
        <v>178</v>
      </c>
      <c r="C213" s="19" t="s">
        <v>169</v>
      </c>
      <c r="D213" s="19" t="s">
        <v>342</v>
      </c>
      <c r="E213" s="19" t="s">
        <v>177</v>
      </c>
      <c r="F213" s="19" t="s">
        <v>354</v>
      </c>
      <c r="G213" s="19">
        <v>66158</v>
      </c>
      <c r="H213" s="19" t="s">
        <v>178</v>
      </c>
      <c r="I213" s="19">
        <v>5</v>
      </c>
      <c r="J213" s="19" t="s">
        <v>178</v>
      </c>
      <c r="K213" s="19" t="s">
        <v>268</v>
      </c>
      <c r="L213" s="19">
        <v>1120</v>
      </c>
    </row>
    <row r="214" spans="1:12" x14ac:dyDescent="0.35">
      <c r="A214" s="19" t="s">
        <v>132</v>
      </c>
      <c r="B214" s="19" t="s">
        <v>162</v>
      </c>
      <c r="C214" s="19" t="s">
        <v>338</v>
      </c>
      <c r="D214" s="19" t="s">
        <v>341</v>
      </c>
      <c r="E214" s="19">
        <v>30357</v>
      </c>
      <c r="F214" s="19" t="s">
        <v>376</v>
      </c>
      <c r="G214" s="19">
        <v>30357</v>
      </c>
      <c r="H214" s="19">
        <v>42869</v>
      </c>
      <c r="I214" s="19">
        <v>5</v>
      </c>
      <c r="J214" s="19" t="s">
        <v>180</v>
      </c>
      <c r="K214" s="19" t="s">
        <v>248</v>
      </c>
      <c r="L214" s="19">
        <v>1123</v>
      </c>
    </row>
    <row r="215" spans="1:12" x14ac:dyDescent="0.35">
      <c r="A215" s="19" t="s">
        <v>134</v>
      </c>
      <c r="B215" s="19" t="s">
        <v>161</v>
      </c>
      <c r="C215" s="19" t="s">
        <v>335</v>
      </c>
      <c r="D215" s="19" t="s">
        <v>340</v>
      </c>
      <c r="E215" s="19">
        <v>90019</v>
      </c>
      <c r="F215" s="19" t="s">
        <v>377</v>
      </c>
      <c r="G215" s="19">
        <v>90019</v>
      </c>
      <c r="H215" s="19">
        <v>42883</v>
      </c>
      <c r="I215" s="19">
        <v>5</v>
      </c>
      <c r="J215" s="19" t="s">
        <v>178</v>
      </c>
      <c r="K215" s="19" t="s">
        <v>272</v>
      </c>
      <c r="L215" s="19">
        <v>1125</v>
      </c>
    </row>
    <row r="216" spans="1:12" x14ac:dyDescent="0.35">
      <c r="A216" s="19" t="s">
        <v>150</v>
      </c>
      <c r="B216" s="19" t="s">
        <v>162</v>
      </c>
      <c r="C216" s="19" t="s">
        <v>337</v>
      </c>
      <c r="D216" s="19" t="s">
        <v>342</v>
      </c>
      <c r="E216" s="19">
        <v>66882</v>
      </c>
      <c r="F216" s="19" t="s">
        <v>379</v>
      </c>
      <c r="G216" s="19">
        <v>66882</v>
      </c>
      <c r="H216" s="19">
        <v>42995</v>
      </c>
      <c r="I216" s="19">
        <v>5</v>
      </c>
      <c r="J216" s="19" t="s">
        <v>179</v>
      </c>
      <c r="K216" s="19" t="s">
        <v>207</v>
      </c>
      <c r="L216" s="19">
        <v>1141</v>
      </c>
    </row>
    <row r="217" spans="1:12" x14ac:dyDescent="0.35">
      <c r="A217" s="19" t="s">
        <v>154</v>
      </c>
      <c r="B217" s="19" t="s">
        <v>163</v>
      </c>
      <c r="C217" s="19" t="s">
        <v>336</v>
      </c>
      <c r="D217" s="19" t="s">
        <v>345</v>
      </c>
      <c r="E217" s="19">
        <v>35627</v>
      </c>
      <c r="F217" s="19" t="s">
        <v>380</v>
      </c>
      <c r="G217" s="19">
        <v>35627</v>
      </c>
      <c r="H217" s="19">
        <v>43023</v>
      </c>
      <c r="I217" s="19">
        <v>5</v>
      </c>
      <c r="J217" s="19" t="s">
        <v>181</v>
      </c>
      <c r="K217" s="19" t="s">
        <v>275</v>
      </c>
      <c r="L217" s="19">
        <v>1145</v>
      </c>
    </row>
    <row r="218" spans="1:12" x14ac:dyDescent="0.35">
      <c r="A218" s="19" t="s">
        <v>158</v>
      </c>
      <c r="B218" s="19" t="s">
        <v>163</v>
      </c>
      <c r="C218" s="19" t="s">
        <v>337</v>
      </c>
      <c r="D218" s="19" t="s">
        <v>343</v>
      </c>
      <c r="E218" s="19">
        <v>98475</v>
      </c>
      <c r="F218" s="19" t="s">
        <v>381</v>
      </c>
      <c r="G218" s="19">
        <v>98475</v>
      </c>
      <c r="H218" s="19">
        <v>43051</v>
      </c>
      <c r="I218" s="19">
        <v>5</v>
      </c>
      <c r="J218" s="19" t="s">
        <v>179</v>
      </c>
      <c r="K218" s="19" t="s">
        <v>280</v>
      </c>
      <c r="L218" s="19">
        <v>1149</v>
      </c>
    </row>
    <row r="220" spans="1:12" x14ac:dyDescent="0.35">
      <c r="A220" s="30" t="s">
        <v>384</v>
      </c>
      <c r="B220" s="54" t="s">
        <v>398</v>
      </c>
      <c r="C220" s="54"/>
      <c r="D220" s="54"/>
      <c r="E220" s="54"/>
      <c r="F220" s="54"/>
      <c r="G220" s="54"/>
      <c r="H220" s="54"/>
      <c r="I220" s="54"/>
      <c r="J220" s="54"/>
      <c r="K220" s="54"/>
      <c r="L220" s="54"/>
    </row>
    <row r="221" spans="1:12" ht="37" x14ac:dyDescent="0.35">
      <c r="A221" s="9" t="s">
        <v>0</v>
      </c>
      <c r="B221" s="9" t="s">
        <v>402</v>
      </c>
      <c r="C221" s="10" t="s">
        <v>403</v>
      </c>
      <c r="D221" s="9" t="s">
        <v>310</v>
      </c>
      <c r="E221" s="9" t="s">
        <v>4</v>
      </c>
      <c r="F221" s="10" t="s">
        <v>304</v>
      </c>
      <c r="G221" s="24" t="s">
        <v>305</v>
      </c>
      <c r="H221" s="9" t="s">
        <v>404</v>
      </c>
      <c r="I221" s="10" t="s">
        <v>6</v>
      </c>
      <c r="J221" s="10" t="s">
        <v>309</v>
      </c>
      <c r="K221" s="9" t="s">
        <v>8</v>
      </c>
      <c r="L221" s="9" t="s">
        <v>392</v>
      </c>
    </row>
    <row r="222" spans="1:12" x14ac:dyDescent="0.35">
      <c r="A222" s="19" t="s">
        <v>59</v>
      </c>
      <c r="B222" s="19" t="s">
        <v>164</v>
      </c>
      <c r="C222" s="19" t="s">
        <v>338</v>
      </c>
      <c r="D222" s="19" t="s">
        <v>340</v>
      </c>
      <c r="E222" s="19">
        <v>30686</v>
      </c>
      <c r="F222" s="22" t="s">
        <v>362</v>
      </c>
      <c r="G222" s="19">
        <v>30686</v>
      </c>
      <c r="H222" s="20" t="s">
        <v>178</v>
      </c>
      <c r="I222" s="19">
        <v>2</v>
      </c>
      <c r="J222" s="19" t="s">
        <v>181</v>
      </c>
      <c r="K222" s="19" t="s">
        <v>226</v>
      </c>
      <c r="L222" s="19">
        <v>1050</v>
      </c>
    </row>
    <row r="223" spans="1:12" x14ac:dyDescent="0.35">
      <c r="A223" s="19" t="s">
        <v>61</v>
      </c>
      <c r="B223" s="19" t="s">
        <v>159</v>
      </c>
      <c r="C223" s="19" t="s">
        <v>337</v>
      </c>
      <c r="D223" s="19" t="s">
        <v>340</v>
      </c>
      <c r="E223" s="19">
        <v>30280</v>
      </c>
      <c r="F223" s="22" t="s">
        <v>364</v>
      </c>
      <c r="G223" s="19">
        <v>30280</v>
      </c>
      <c r="H223" s="20">
        <v>42372</v>
      </c>
      <c r="I223" s="19">
        <v>1</v>
      </c>
      <c r="J223" s="19" t="s">
        <v>178</v>
      </c>
      <c r="K223" s="19" t="s">
        <v>228</v>
      </c>
      <c r="L223" s="19">
        <v>1052</v>
      </c>
    </row>
    <row r="224" spans="1:12" x14ac:dyDescent="0.35">
      <c r="A224" s="19" t="s">
        <v>119</v>
      </c>
      <c r="B224" s="19" t="s">
        <v>164</v>
      </c>
      <c r="C224" s="19" t="s">
        <v>336</v>
      </c>
      <c r="D224" s="19" t="s">
        <v>343</v>
      </c>
      <c r="E224" s="19">
        <v>31293</v>
      </c>
      <c r="F224" s="22" t="s">
        <v>373</v>
      </c>
      <c r="G224" s="19">
        <v>31293</v>
      </c>
      <c r="H224" s="20" t="s">
        <v>178</v>
      </c>
      <c r="I224" s="19">
        <v>2</v>
      </c>
      <c r="J224" s="19" t="s">
        <v>181</v>
      </c>
      <c r="K224" s="19" t="s">
        <v>264</v>
      </c>
      <c r="L224" s="19">
        <v>1110</v>
      </c>
    </row>
    <row r="225" spans="1:12" x14ac:dyDescent="0.35">
      <c r="A225" s="19" t="s">
        <v>132</v>
      </c>
      <c r="B225" s="19" t="s">
        <v>162</v>
      </c>
      <c r="C225" s="19" t="s">
        <v>338</v>
      </c>
      <c r="D225" s="19" t="s">
        <v>341</v>
      </c>
      <c r="E225" s="19">
        <v>30357</v>
      </c>
      <c r="F225" s="22" t="s">
        <v>376</v>
      </c>
      <c r="G225" s="19">
        <v>30357</v>
      </c>
      <c r="H225" s="20">
        <v>42869</v>
      </c>
      <c r="I225" s="19">
        <v>5</v>
      </c>
      <c r="J225" s="19" t="s">
        <v>180</v>
      </c>
      <c r="K225" s="19" t="s">
        <v>248</v>
      </c>
      <c r="L225" s="19">
        <v>1123</v>
      </c>
    </row>
    <row r="226" spans="1:12" x14ac:dyDescent="0.35">
      <c r="A226" s="19" t="s">
        <v>137</v>
      </c>
      <c r="B226" s="19" t="s">
        <v>164</v>
      </c>
      <c r="C226" s="19" t="s">
        <v>336</v>
      </c>
      <c r="D226" s="19" t="s">
        <v>342</v>
      </c>
      <c r="E226" s="19">
        <v>30402</v>
      </c>
      <c r="F226" s="22" t="s">
        <v>378</v>
      </c>
      <c r="G226" s="19">
        <v>30402</v>
      </c>
      <c r="H226" s="20">
        <v>42904</v>
      </c>
      <c r="I226" s="19">
        <v>1</v>
      </c>
      <c r="J226" s="19" t="s">
        <v>178</v>
      </c>
      <c r="K226" s="19" t="s">
        <v>274</v>
      </c>
      <c r="L226" s="19">
        <v>1128</v>
      </c>
    </row>
    <row r="228" spans="1:12" x14ac:dyDescent="0.35">
      <c r="A228" s="33" t="s">
        <v>385</v>
      </c>
      <c r="B228" s="30" t="s">
        <v>406</v>
      </c>
    </row>
    <row r="229" spans="1:12" ht="43.5" x14ac:dyDescent="0.35">
      <c r="B229" s="18" t="s">
        <v>399</v>
      </c>
    </row>
  </sheetData>
  <mergeCells count="5">
    <mergeCell ref="B192:L192"/>
    <mergeCell ref="B220:L220"/>
    <mergeCell ref="A175:D175"/>
    <mergeCell ref="A176:B176"/>
    <mergeCell ref="C176:D176"/>
  </mergeCells>
  <conditionalFormatting sqref="A193">
    <cfRule type="duplicateValues" dxfId="5" priority="8"/>
  </conditionalFormatting>
  <conditionalFormatting sqref="A221">
    <cfRule type="duplicateValues" dxfId="4" priority="5"/>
  </conditionalFormatting>
  <conditionalFormatting sqref="L2">
    <cfRule type="duplicateValues" dxfId="3" priority="9"/>
  </conditionalFormatting>
  <conditionalFormatting sqref="L156">
    <cfRule type="duplicateValues" dxfId="2" priority="3"/>
  </conditionalFormatting>
  <conditionalFormatting sqref="L193">
    <cfRule type="duplicateValues" dxfId="1" priority="7"/>
  </conditionalFormatting>
  <conditionalFormatting sqref="L221">
    <cfRule type="duplicateValues" dxfId="0" priority="4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83594197-B80A-4FC4-94F8-CD94DA9FF211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G3:G152</xm:sqref>
        </x14:conditionalFormatting>
        <x14:conditionalFormatting xmlns:xm="http://schemas.microsoft.com/office/excel/2006/main">
          <x14:cfRule type="iconSet" priority="6" id="{D60CE35E-AE2A-47D6-9A1B-9162BA8AF683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G222:G226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Observation</vt:lpstr>
      <vt:lpstr>Week 1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Mithuvashini Viswanathan</dc:creator>
  <cp:lastModifiedBy>Mithuvashini Viswanathan</cp:lastModifiedBy>
  <dcterms:created xsi:type="dcterms:W3CDTF">2025-05-31T18:11:07Z</dcterms:created>
  <dcterms:modified xsi:type="dcterms:W3CDTF">2025-11-21T08:06:22Z</dcterms:modified>
</cp:coreProperties>
</file>